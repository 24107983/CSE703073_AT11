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Muc_60_Ca_Kiem_Thu" sheetId="1" state="visible" r:id="rId1"/>
    <sheet xmlns:r="http://schemas.openxmlformats.org/officeDocument/2006/relationships" name="Thong_Ke_Phan_B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sz val="11"/>
    </font>
    <font>
      <name val="Calibri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22" customWidth="1" min="4" max="4"/>
    <col width="22" customWidth="1" min="5" max="5"/>
    <col width="14" customWidth="1" min="6" max="6"/>
    <col width="32" customWidth="1" min="7" max="7"/>
    <col width="28" customWidth="1" min="8" max="8"/>
    <col width="30" customWidth="1" min="9" max="9"/>
    <col width="30" customWidth="1" min="10" max="10"/>
    <col width="32" customWidth="1" min="11" max="11"/>
    <col width="32" customWidth="1" min="12" max="12"/>
    <col width="12" customWidth="1" min="13" max="13"/>
    <col width="16" customWidth="1" min="14" max="14"/>
    <col width="16" customWidth="1" min="15" max="15"/>
  </cols>
  <sheetData>
    <row r="1" ht="30" customHeight="1">
      <c r="A1" s="1" t="inlineStr">
        <is>
          <t>DANH MỤC 60 CA KIỂM THỬ TÍCH HỢP HỆ THỐNG - BẢN ĐỒ SỐ DU LỊCH ẨM THỰC VÙNG MIỀN (ĐT-11)</t>
        </is>
      </c>
    </row>
    <row r="2" ht="20" customHeight="1">
      <c r="A2" s="2" t="inlineStr">
        <is>
          <t>Đã đối chiếu &amp; tích hợp dữ liệu từ V1 (Kiến trúc Git), V2 (12 Bảng CSDL), V3 (Hợp đồng API v0.1) &amp; V4 (Wireframes 3 trang) | V5 phụ trách</t>
        </is>
      </c>
    </row>
    <row r="4" ht="28" customHeight="1">
      <c r="A4" s="3" t="inlineStr">
        <is>
          <t>Mã ca (ID)</t>
        </is>
      </c>
      <c r="B4" s="3" t="inlineStr">
        <is>
          <t>Mô-đun</t>
        </is>
      </c>
      <c r="C4" s="3" t="inlineStr">
        <is>
          <t>Endpoint API (V3)</t>
        </is>
      </c>
      <c r="D4" s="3" t="inlineStr">
        <is>
          <t>Bảng CSDL (V2)</t>
        </is>
      </c>
      <c r="E4" s="3" t="inlineStr">
        <is>
          <t>Giao diện UI (V4)</t>
        </is>
      </c>
      <c r="F4" s="3" t="inlineStr">
        <is>
          <t>Loại kịch bản</t>
        </is>
      </c>
      <c r="G4" s="3" t="inlineStr">
        <is>
          <t>Mục tiêu kiểm thử</t>
        </is>
      </c>
      <c r="H4" s="3" t="inlineStr">
        <is>
          <t>Tiền điều kiện</t>
        </is>
      </c>
      <c r="I4" s="3" t="inlineStr">
        <is>
          <t>Dữ liệu đầu vào</t>
        </is>
      </c>
      <c r="J4" s="3" t="inlineStr">
        <is>
          <t>Các bước thực hiện</t>
        </is>
      </c>
      <c r="K4" s="3" t="inlineStr">
        <is>
          <t>Kết quả mong đợi</t>
        </is>
      </c>
      <c r="L4" s="3" t="inlineStr">
        <is>
          <t>Kết quả thực tế</t>
        </is>
      </c>
      <c r="M4" s="3" t="inlineStr">
        <is>
          <t>Trạng thái</t>
        </is>
      </c>
      <c r="N4" s="3" t="inlineStr">
        <is>
          <t>Mức nghiêm trọng</t>
        </is>
      </c>
      <c r="O4" s="3" t="inlineStr">
        <is>
          <t>Người thực hiện &amp; VT</t>
        </is>
      </c>
    </row>
    <row r="5" ht="42" customHeight="1">
      <c r="A5" s="4" t="inlineStr">
        <is>
          <t>TC-AUTH-001</t>
        </is>
      </c>
      <c r="B5" s="4" t="inlineStr">
        <is>
          <t>AUTH</t>
        </is>
      </c>
      <c r="C5" s="5" t="inlineStr">
        <is>
          <t>POST /api/v1/auth/register</t>
        </is>
      </c>
      <c r="D5" s="5" t="inlineStr">
        <is>
          <t>nguoi_dung</t>
        </is>
      </c>
      <c r="E5" s="5" t="inlineStr">
        <is>
          <t>Trang Đăng ký</t>
        </is>
      </c>
      <c r="F5" s="4" t="inlineStr">
        <is>
          <t>Luồng thuận</t>
        </is>
      </c>
      <c r="G5" s="5" t="inlineStr">
        <is>
          <t>Kiểm chứng đăng ký tài khoản khách hàng mới thành công</t>
        </is>
      </c>
      <c r="H5" s="5" t="inlineStr">
        <is>
          <t>Đã mở trang đăng ký; chưa đăng nhập</t>
        </is>
      </c>
      <c r="I5" s="5" t="inlineStr">
        <is>
          <t>Email: khach01@demo.test, Mật khẩu: MatKhau!123, Họ tên: Nguyễn Văn A</t>
        </is>
      </c>
      <c r="J5" s="5" t="inlineStr">
        <is>
          <t>1. Nhập họ tên, email, sđt, mật khẩu hợp lệ
2. Bấm nút 'Đăng ký'</t>
        </is>
      </c>
      <c r="K5" s="5" t="inlineStr">
        <is>
          <t>Tạo tài khoản thành công, mật khẩu băm Argon2id trong CSDL, tự động đăng nhập và chuyển về Trang chủ</t>
        </is>
      </c>
      <c r="L5" s="5" t="inlineStr">
        <is>
          <t>Tài khoản được tạo thành công, chuỗi mật khẩu băm $argon2id$ trong CSDL</t>
        </is>
      </c>
      <c r="M5" s="6" t="inlineStr">
        <is>
          <t>Đạt</t>
        </is>
      </c>
      <c r="N5" s="4" t="inlineStr">
        <is>
          <t>Cao</t>
        </is>
      </c>
      <c r="O5" s="4" t="inlineStr">
        <is>
          <t>V5 - Kiểm thử</t>
        </is>
      </c>
    </row>
    <row r="6" ht="42" customHeight="1">
      <c r="A6" s="7" t="inlineStr">
        <is>
          <t>TC-AUTH-002</t>
        </is>
      </c>
      <c r="B6" s="7" t="inlineStr">
        <is>
          <t>AUTH</t>
        </is>
      </c>
      <c r="C6" s="8" t="inlineStr">
        <is>
          <t>POST /api/v1/auth/login</t>
        </is>
      </c>
      <c r="D6" s="8" t="inlineStr">
        <is>
          <t>nguoi_dung</t>
        </is>
      </c>
      <c r="E6" s="8" t="inlineStr">
        <is>
          <t>Trang Đăng nhập</t>
        </is>
      </c>
      <c r="F6" s="7" t="inlineStr">
        <is>
          <t>Luồng thuận</t>
        </is>
      </c>
      <c r="G6" s="8" t="inlineStr">
        <is>
          <t>Kiểm chứng đăng nhập thành công với tài khoản hợp lệ</t>
        </is>
      </c>
      <c r="H6" s="8" t="inlineStr">
        <is>
          <t>Tài khoản khach01@demo.test đã tồn tại trong CSDL</t>
        </is>
      </c>
      <c r="I6" s="8" t="inlineStr">
        <is>
          <t>Email: khach01@demo.test, Mật khẩu: MatKhau!123</t>
        </is>
      </c>
      <c r="J6" s="8" t="inlineStr">
        <is>
          <t>1. Mở trang /dang-nhap
2. Nhập email và mật khẩu đúng
3. Bấm 'Đăng nhập'</t>
        </is>
      </c>
      <c r="K6" s="8" t="inlineStr">
        <is>
          <t>Đăng nhập thành công, tạo phiên làm việc (session), hiển thị tên trên thanh điều hướng</t>
        </is>
      </c>
      <c r="L6" s="8" t="inlineStr">
        <is>
          <t>Đăng nhập thành công, cookie session khởi tạo với cờ HttpOnly, SameSite=Lax</t>
        </is>
      </c>
      <c r="M6" s="6" t="inlineStr">
        <is>
          <t>Đạt</t>
        </is>
      </c>
      <c r="N6" s="7" t="inlineStr">
        <is>
          <t>Rất cao</t>
        </is>
      </c>
      <c r="O6" s="7" t="inlineStr">
        <is>
          <t>V5 - Kiểm thử</t>
        </is>
      </c>
    </row>
    <row r="7" ht="42" customHeight="1">
      <c r="A7" s="4" t="inlineStr">
        <is>
          <t>TC-AUTH-003</t>
        </is>
      </c>
      <c r="B7" s="4" t="inlineStr">
        <is>
          <t>AUTH</t>
        </is>
      </c>
      <c r="C7" s="5" t="inlineStr">
        <is>
          <t>POST /api/v1/auth/logout</t>
        </is>
      </c>
      <c r="D7" s="5" t="inlineStr">
        <is>
          <t>nguoi_dung</t>
        </is>
      </c>
      <c r="E7" s="5" t="inlineStr">
        <is>
          <t>Header Navbar</t>
        </is>
      </c>
      <c r="F7" s="4" t="inlineStr">
        <is>
          <t>Luồng thuận</t>
        </is>
      </c>
      <c r="G7" s="5" t="inlineStr">
        <is>
          <t>Kiểm chứng chức năng đăng xuất và hủy phiên làm việc</t>
        </is>
      </c>
      <c r="H7" s="5" t="inlineStr">
        <is>
          <t>Người dùng đang trong trạng thái đã đăng nhập</t>
        </is>
      </c>
      <c r="I7" s="5" t="inlineStr">
        <is>
          <t>Hành động: Bấm nút 'Đăng xuất'</t>
        </is>
      </c>
      <c r="J7" s="5" t="inlineStr">
        <is>
          <t>1. Bấm 'Đăng xuất' trên header
2. Bấm Quay lại (Back) trên trình duyệt</t>
        </is>
      </c>
      <c r="K7" s="5" t="inlineStr">
        <is>
          <t>Phiên làm việc bị hủy hoàn toàn, token CSRF được sinh mới, bấm Back không thể xem trang cá nhân</t>
        </is>
      </c>
      <c r="L7" s="5" t="inlineStr">
        <is>
          <t>Hủy phiên thành công, trình duyệt chuyển về trang chủ, bấm Back bị yêu cầu đăng nhập lại</t>
        </is>
      </c>
      <c r="M7" s="6" t="inlineStr">
        <is>
          <t>Đạt</t>
        </is>
      </c>
      <c r="N7" s="4" t="inlineStr">
        <is>
          <t>Cao</t>
        </is>
      </c>
      <c r="O7" s="4" t="inlineStr">
        <is>
          <t>V5 - Kiểm thử</t>
        </is>
      </c>
    </row>
    <row r="8" ht="42" customHeight="1">
      <c r="A8" s="7" t="inlineStr">
        <is>
          <t>TC-AUTH-004</t>
        </is>
      </c>
      <c r="B8" s="7" t="inlineStr">
        <is>
          <t>AUTH</t>
        </is>
      </c>
      <c r="C8" s="8" t="inlineStr">
        <is>
          <t>POST /api/v1/auth/login</t>
        </is>
      </c>
      <c r="D8" s="8" t="inlineStr">
        <is>
          <t>nguoi_dung</t>
        </is>
      </c>
      <c r="E8" s="8" t="inlineStr">
        <is>
          <t>Trang Đăng nhập</t>
        </is>
      </c>
      <c r="F8" s="7" t="inlineStr">
        <is>
          <t>Luồng ngoại lệ</t>
        </is>
      </c>
      <c r="G8" s="8" t="inlineStr">
        <is>
          <t>Kiểm chứng khóa tạm thời tài khoản khi đăng nhập sai quá 5 lần</t>
        </is>
      </c>
      <c r="H8" s="8" t="inlineStr">
        <is>
          <t>Tài khoản khach01@demo.test hoạt động bình thường</t>
        </is>
      </c>
      <c r="I8" s="8" t="inlineStr">
        <is>
          <t>Email: khach01@demo.test, Mật khẩu sai: SaiMatKhau123 (5 lần)</t>
        </is>
      </c>
      <c r="J8" s="8" t="inlineStr">
        <is>
          <t>1. Nhập mật khẩu sai và bấm 'Đăng nhập' 5 lần liên tiếp</t>
        </is>
      </c>
      <c r="K8" s="8" t="inlineStr">
        <is>
          <t>Hệ thống kích hoạt Rate Limiting, khóa tạm thời tài khoản 15 phút, trả về HTTP Status 429</t>
        </is>
      </c>
      <c r="L8" s="8" t="inlineStr">
        <is>
          <t>Trả về lỗi 'Bạn đã thử quá số lần cho phép. Vui lòng thử lại sau 15 phút.'</t>
        </is>
      </c>
      <c r="M8" s="6" t="inlineStr">
        <is>
          <t>Đạt</t>
        </is>
      </c>
      <c r="N8" s="7" t="inlineStr">
        <is>
          <t>Cao</t>
        </is>
      </c>
      <c r="O8" s="7" t="inlineStr">
        <is>
          <t>V5 - Kiểm thử</t>
        </is>
      </c>
    </row>
    <row r="9" ht="42" customHeight="1">
      <c r="A9" s="4" t="inlineStr">
        <is>
          <t>TC-AUTH-005</t>
        </is>
      </c>
      <c r="B9" s="4" t="inlineStr">
        <is>
          <t>AUTH</t>
        </is>
      </c>
      <c r="C9" s="5" t="inlineStr">
        <is>
          <t>POST /api/v1/auth/register</t>
        </is>
      </c>
      <c r="D9" s="5" t="inlineStr">
        <is>
          <t>nguoi_dung</t>
        </is>
      </c>
      <c r="E9" s="5" t="inlineStr">
        <is>
          <t>Trang Đăng ký</t>
        </is>
      </c>
      <c r="F9" s="4" t="inlineStr">
        <is>
          <t>Luồng ngoại lệ</t>
        </is>
      </c>
      <c r="G9" s="5" t="inlineStr">
        <is>
          <t>Kiểm chứng từ chối đăng ký với Email đã tồn tại</t>
        </is>
      </c>
      <c r="H9" s="5" t="inlineStr">
        <is>
          <t>Email admin@demo.test đã tồn tại trong CSDL</t>
        </is>
      </c>
      <c r="I9" s="5" t="inlineStr">
        <is>
          <t>Email: admin@demo.test, Mật khẩu: MatKhau!123</t>
        </is>
      </c>
      <c r="J9" s="5" t="inlineStr">
        <is>
          <t>1. Nhập email admin@demo.test vào form đăng ký
2. Bấm 'Đăng ký'</t>
        </is>
      </c>
      <c r="K9" s="5" t="inlineStr">
        <is>
          <t>Hệ thống từ chối, hiển thị thông báo lỗi 'Email này đã được sử dụng' dưới ô nhập liệu</t>
        </is>
      </c>
      <c r="L9" s="5" t="inlineStr">
        <is>
          <t>Hiển thị thông báo lỗi chính xác, không phát sinh bản ghi trùng lặp trong CSDL</t>
        </is>
      </c>
      <c r="M9" s="6" t="inlineStr">
        <is>
          <t>Đạt</t>
        </is>
      </c>
      <c r="N9" s="4" t="inlineStr">
        <is>
          <t>Trung bình</t>
        </is>
      </c>
      <c r="O9" s="4" t="inlineStr">
        <is>
          <t>V5 - Kiểm thử</t>
        </is>
      </c>
    </row>
    <row r="10" ht="42" customHeight="1">
      <c r="A10" s="7" t="inlineStr">
        <is>
          <t>TC-AUTH-006</t>
        </is>
      </c>
      <c r="B10" s="7" t="inlineStr">
        <is>
          <t>AUTH</t>
        </is>
      </c>
      <c r="C10" s="8" t="inlineStr">
        <is>
          <t>POST /api/v1/auth/change-password</t>
        </is>
      </c>
      <c r="D10" s="8" t="inlineStr">
        <is>
          <t>nguoi_dung</t>
        </is>
      </c>
      <c r="E10" s="8" t="inlineStr">
        <is>
          <t>Trang Đổi mật khẩu</t>
        </is>
      </c>
      <c r="F10" s="7" t="inlineStr">
        <is>
          <t>Luồng ngoại lệ</t>
        </is>
      </c>
      <c r="G10" s="8" t="inlineStr">
        <is>
          <t>Kiểm chứng hủy toàn bộ phiên trên thiết bị khác khi đổi mật khẩu</t>
        </is>
      </c>
      <c r="H10" s="8" t="inlineStr">
        <is>
          <t>Đang đăng nhập trên Trình duyệt A (Chrome) và B (Firefox)</t>
        </is>
      </c>
      <c r="I10" s="8" t="inlineStr">
        <is>
          <t>Mật khẩu cũ: MatKhau!123, Mật khẩu mới: MatKhauMoi!456</t>
        </is>
      </c>
      <c r="J10" s="8" t="inlineStr">
        <is>
          <t>1. Đổi mật khẩu tại Trình duyệt A
2. Tải lại trang tại Trình duyệt B</t>
        </is>
      </c>
      <c r="K10" s="8" t="inlineStr">
        <is>
          <t>Trình duyệt B bị đăng xuất tự động do session bị thu hồi trong CSDL (logoutOtherDevices)</t>
        </is>
      </c>
      <c r="L10" s="8" t="inlineStr">
        <is>
          <t>Trình duyệt B bị đẩy về trang đăng nhập với thông báo phiên hết hạn</t>
        </is>
      </c>
      <c r="M10" s="6" t="inlineStr">
        <is>
          <t>Đạt</t>
        </is>
      </c>
      <c r="N10" s="7" t="inlineStr">
        <is>
          <t>Rất cao</t>
        </is>
      </c>
      <c r="O10" s="7" t="inlineStr">
        <is>
          <t>V5 - Kiểm thử</t>
        </is>
      </c>
    </row>
    <row r="11" ht="42" customHeight="1">
      <c r="A11" s="4" t="inlineStr">
        <is>
          <t>TC-AUTH-007</t>
        </is>
      </c>
      <c r="B11" s="4" t="inlineStr">
        <is>
          <t>AUTH</t>
        </is>
      </c>
      <c r="C11" s="5" t="inlineStr">
        <is>
          <t>POST /api/v1/auth/login</t>
        </is>
      </c>
      <c r="D11" s="5" t="inlineStr">
        <is>
          <t>nguoi_dung</t>
        </is>
      </c>
      <c r="E11" s="5" t="inlineStr">
        <is>
          <t>Trang Đăng nhập</t>
        </is>
      </c>
      <c r="F11" s="4" t="inlineStr">
        <is>
          <t>Luồng ngoại lệ</t>
        </is>
      </c>
      <c r="G11" s="5" t="inlineStr">
        <is>
          <t>Kiểm chứng từ chối đăng nhập với tài khoản bị khóa (status=locked)</t>
        </is>
      </c>
      <c r="H11" s="5" t="inlineStr">
        <is>
          <t>Tài khoản khach_khoa@demo.test có status = locked</t>
        </is>
      </c>
      <c r="I11" s="5" t="inlineStr">
        <is>
          <t>Email: khach_khoa@demo.test, Mật khẩu: MatKhau!123</t>
        </is>
      </c>
      <c r="J11" s="5" t="inlineStr">
        <is>
          <t>1. Nhập thông tin tài khoản bị khóa
2. Bấm 'Đăng nhập'</t>
        </is>
      </c>
      <c r="K11" s="5" t="inlineStr">
        <is>
          <t>Từ chối đăng nhập, hiển thị thông báo 'Tài khoản của bạn đã bị khóa. Vui lòng liên hệ quản trị viên.'</t>
        </is>
      </c>
      <c r="L11" s="5" t="inlineStr">
        <is>
          <t>Từ chối đăng nhập thành công, không tạo session</t>
        </is>
      </c>
      <c r="M11" s="6" t="inlineStr">
        <is>
          <t>Đạt</t>
        </is>
      </c>
      <c r="N11" s="4" t="inlineStr">
        <is>
          <t>Cao</t>
        </is>
      </c>
      <c r="O11" s="4" t="inlineStr">
        <is>
          <t>V5 - Kiểm thử</t>
        </is>
      </c>
    </row>
    <row r="12" ht="42" customHeight="1">
      <c r="A12" s="7" t="inlineStr">
        <is>
          <t>TC-AUTH-008</t>
        </is>
      </c>
      <c r="B12" s="7" t="inlineStr">
        <is>
          <t>AUTH</t>
        </is>
      </c>
      <c r="C12" s="8" t="inlineStr">
        <is>
          <t>POST /api/v1/auth/register</t>
        </is>
      </c>
      <c r="D12" s="8" t="inlineStr">
        <is>
          <t>nguoi_dung</t>
        </is>
      </c>
      <c r="E12" s="8" t="inlineStr">
        <is>
          <t>Trang Đăng ký</t>
        </is>
      </c>
      <c r="F12" s="7" t="inlineStr">
        <is>
          <t>Giá trị biên</t>
        </is>
      </c>
      <c r="G12" s="8" t="inlineStr">
        <is>
          <t>Kiểm chứng đăng ký tài khoản với Email độ dài cực đại (180 ký tự)</t>
        </is>
      </c>
      <c r="H12" s="8" t="inlineStr">
        <is>
          <t>Đang ở trang đăng ký</t>
        </is>
      </c>
      <c r="I12" s="8" t="inlineStr">
        <is>
          <t>Email chuỗi 180 ký tự hợp lệ dạng name_180chars@domain.test</t>
        </is>
      </c>
      <c r="J12" s="8" t="inlineStr">
        <is>
          <t>1. Nhập email dài đúng 180 ký tự
2. Bấm 'Đăng ký'</t>
        </is>
      </c>
      <c r="K12" s="8" t="inlineStr">
        <is>
          <t>Hệ thống tiếp nhận hợp lệ, lưu trữ không bị cắt xén dữ liệu trong cột nguoi_dung.email</t>
        </is>
      </c>
      <c r="L12" s="8" t="inlineStr">
        <is>
          <t>Đăng ký thành công, CSDL lưu đủ 180 ký tự</t>
        </is>
      </c>
      <c r="M12" s="6" t="inlineStr">
        <is>
          <t>Đạt</t>
        </is>
      </c>
      <c r="N12" s="7" t="inlineStr">
        <is>
          <t>Trung bình</t>
        </is>
      </c>
      <c r="O12" s="7" t="inlineStr">
        <is>
          <t>V5 - Kiểm thử</t>
        </is>
      </c>
    </row>
    <row r="13" ht="42" customHeight="1">
      <c r="A13" s="4" t="inlineStr">
        <is>
          <t>TC-AUTH-009</t>
        </is>
      </c>
      <c r="B13" s="4" t="inlineStr">
        <is>
          <t>AUTH</t>
        </is>
      </c>
      <c r="C13" s="5" t="inlineStr">
        <is>
          <t>POST /api/v1/auth/register</t>
        </is>
      </c>
      <c r="D13" s="5" t="inlineStr">
        <is>
          <t>nguoi_dung</t>
        </is>
      </c>
      <c r="E13" s="5" t="inlineStr">
        <is>
          <t>Trang Đăng ký</t>
        </is>
      </c>
      <c r="F13" s="4" t="inlineStr">
        <is>
          <t>Giá trị biên</t>
        </is>
      </c>
      <c r="G13" s="5" t="inlineStr">
        <is>
          <t>Kiểm chứng độ dài mật khẩu tối thiểu (đúng 8 ký tự)</t>
        </is>
      </c>
      <c r="H13" s="5" t="inlineStr">
        <is>
          <t>Đang ở trang đăng ký</t>
        </is>
      </c>
      <c r="I13" s="5" t="inlineStr">
        <is>
          <t>Mật khẩu: Pass!123 (đúng 8 ký tự)</t>
        </is>
      </c>
      <c r="J13" s="5" t="inlineStr">
        <is>
          <t>1. Nhập mật khẩu đúng 8 ký tự gồm chữ hoa, thường, số, ký tự đặc biệt</t>
        </is>
      </c>
      <c r="K13" s="5" t="inlineStr">
        <is>
          <t>Hệ thống chấp nhận mật khẩu 8 ký tự, tạo tài khoản thành công</t>
        </is>
      </c>
      <c r="L13" s="5" t="inlineStr">
        <is>
          <t>Đăng ký thành công, mật khẩu băm lưu an toàn</t>
        </is>
      </c>
      <c r="M13" s="6" t="inlineStr">
        <is>
          <t>Đạt</t>
        </is>
      </c>
      <c r="N13" s="4" t="inlineStr">
        <is>
          <t>Trung bình</t>
        </is>
      </c>
      <c r="O13" s="4" t="inlineStr">
        <is>
          <t>V5 - Kiểm thử</t>
        </is>
      </c>
    </row>
    <row r="14" ht="42" customHeight="1">
      <c r="A14" s="7" t="inlineStr">
        <is>
          <t>TC-PERM-001</t>
        </is>
      </c>
      <c r="B14" s="7" t="inlineStr">
        <is>
          <t>PERM</t>
        </is>
      </c>
      <c r="C14" s="8" t="inlineStr">
        <is>
          <t>GET /api/v1/admin/dashboard</t>
        </is>
      </c>
      <c r="D14" s="8" t="inlineStr">
        <is>
          <t>nguoi_dung</t>
        </is>
      </c>
      <c r="E14" s="8" t="inlineStr">
        <is>
          <t>Trang Admin /admin</t>
        </is>
      </c>
      <c r="F14" s="7" t="inlineStr">
        <is>
          <t>Luồng thuận</t>
        </is>
      </c>
      <c r="G14" s="8" t="inlineStr">
        <is>
          <t>Kiểm chứng tài khoản vai trò Admin (status=admin) truy cập Dashboard thành công</t>
        </is>
      </c>
      <c r="H14" s="8" t="inlineStr">
        <is>
          <t>Đã đăng nhập vai trò Admin</t>
        </is>
      </c>
      <c r="I14" s="8" t="inlineStr">
        <is>
          <t>Phiên đăng nhập Admin hợp lệ</t>
        </is>
      </c>
      <c r="J14" s="8" t="inlineStr">
        <is>
          <t>1. Truy cập URL /admin
2. Xem giao diện quản trị</t>
        </is>
      </c>
      <c r="K14" s="8" t="inlineStr">
        <is>
          <t>Hệ thống cho phép truy cập, hiển thị đầy đủ biểu đồ và số liệu quản trị</t>
        </is>
      </c>
      <c r="L14" s="8" t="inlineStr">
        <is>
          <t>Cho phép truy cập, hiển thị giao diện Admin chuẩn</t>
        </is>
      </c>
      <c r="M14" s="6" t="inlineStr">
        <is>
          <t>Đạt</t>
        </is>
      </c>
      <c r="N14" s="7" t="inlineStr">
        <is>
          <t>Rất cao</t>
        </is>
      </c>
      <c r="O14" s="7" t="inlineStr">
        <is>
          <t>V5 - Kiểm thử</t>
        </is>
      </c>
    </row>
    <row r="15" ht="42" customHeight="1">
      <c r="A15" s="4" t="inlineStr">
        <is>
          <t>TC-PERM-002</t>
        </is>
      </c>
      <c r="B15" s="4" t="inlineStr">
        <is>
          <t>PERM</t>
        </is>
      </c>
      <c r="C15" s="5" t="inlineStr">
        <is>
          <t>GET /api/v1/customer/profile</t>
        </is>
      </c>
      <c r="D15" s="5" t="inlineStr">
        <is>
          <t>nguoi_dung</t>
        </is>
      </c>
      <c r="E15" s="5" t="inlineStr">
        <is>
          <t>Trang Cá nhân</t>
        </is>
      </c>
      <c r="F15" s="4" t="inlineStr">
        <is>
          <t>Luồng thuận</t>
        </is>
      </c>
      <c r="G15" s="5" t="inlineStr">
        <is>
          <t>Kiểm chứng Khách hàng xem thông tin cá nhân của chính mình</t>
        </is>
      </c>
      <c r="H15" s="5" t="inlineStr">
        <is>
          <t>Đã đăng nhập vai trò Customer</t>
        </is>
      </c>
      <c r="I15" s="5" t="inlineStr">
        <is>
          <t>Phiên đăng nhập Customer hợp lệ</t>
        </is>
      </c>
      <c r="J15" s="5" t="inlineStr">
        <is>
          <t>1. Mở trang /profile
2. Xem thông tin cá nhân</t>
        </is>
      </c>
      <c r="K15" s="5" t="inlineStr">
        <is>
          <t>Hiển thị chính xác thông tin profile của tài khoản đang đăng nhập</t>
        </is>
      </c>
      <c r="L15" s="5" t="inlineStr">
        <is>
          <t>Hiển thị đúng thông tin cá nhân</t>
        </is>
      </c>
      <c r="M15" s="6" t="inlineStr">
        <is>
          <t>Đạt</t>
        </is>
      </c>
      <c r="N15" s="4" t="inlineStr">
        <is>
          <t>Cao</t>
        </is>
      </c>
      <c r="O15" s="4" t="inlineStr">
        <is>
          <t>V5 - Kiểm thử</t>
        </is>
      </c>
    </row>
    <row r="16" ht="42" customHeight="1">
      <c r="A16" s="7" t="inlineStr">
        <is>
          <t>TC-PERM-003</t>
        </is>
      </c>
      <c r="B16" s="7" t="inlineStr">
        <is>
          <t>PERM</t>
        </is>
      </c>
      <c r="C16" s="8" t="inlineStr">
        <is>
          <t>GET /api/v1/admin/users</t>
        </is>
      </c>
      <c r="D16" s="8" t="inlineStr">
        <is>
          <t>nguoi_dung</t>
        </is>
      </c>
      <c r="E16" s="8" t="inlineStr">
        <is>
          <t>Trang Admin /admin</t>
        </is>
      </c>
      <c r="F16" s="7" t="inlineStr">
        <is>
          <t>Luồng ngoại lệ</t>
        </is>
      </c>
      <c r="G16" s="8" t="inlineStr">
        <is>
          <t>Kiểm chứng ngăn chặn tài khoản Khách hàng gõ URL /admin trực tiếp (403 Forbidden)</t>
        </is>
      </c>
      <c r="H16" s="8" t="inlineStr">
        <is>
          <t>Đã đăng nhập vai trò Customer</t>
        </is>
      </c>
      <c r="I16" s="8" t="inlineStr">
        <is>
          <t>URL: /admin hoặc /quan-tri</t>
        </is>
      </c>
      <c r="J16" s="8" t="inlineStr">
        <is>
          <t>1. Đăng nhập tài khoản customer
2. Gõ trực tiếp URL /admin trên thanh địa chỉ</t>
        </is>
      </c>
      <c r="K16" s="8" t="inlineStr">
        <is>
          <t>Hệ thống chặn truy cập, trả về mã lỗi HTTP 403 Forbidden hoặc redirect về trang chủ kèm thông báo</t>
        </is>
      </c>
      <c r="L16" s="8" t="inlineStr">
        <is>
          <t>Trả về 403 Forbidden, giao diện hiển thị trang Từ chối truy cập</t>
        </is>
      </c>
      <c r="M16" s="6" t="inlineStr">
        <is>
          <t>Đạt</t>
        </is>
      </c>
      <c r="N16" s="7" t="inlineStr">
        <is>
          <t>Rất cao</t>
        </is>
      </c>
      <c r="O16" s="7" t="inlineStr">
        <is>
          <t>V5 - Kiểm thử</t>
        </is>
      </c>
    </row>
    <row r="17" ht="42" customHeight="1">
      <c r="A17" s="4" t="inlineStr">
        <is>
          <t>TC-PERM-004</t>
        </is>
      </c>
      <c r="B17" s="4" t="inlineStr">
        <is>
          <t>PERM</t>
        </is>
      </c>
      <c r="C17" s="5" t="inlineStr">
        <is>
          <t>POST /api/v1/admin/dishes</t>
        </is>
      </c>
      <c r="D17" s="5" t="inlineStr">
        <is>
          <t>san_pham</t>
        </is>
      </c>
      <c r="E17" s="5" t="inlineStr">
        <is>
          <t>Trang Quản lý món ăn</t>
        </is>
      </c>
      <c r="F17" s="4" t="inlineStr">
        <is>
          <t>Luồng ngoại lệ</t>
        </is>
      </c>
      <c r="G17" s="5" t="inlineStr">
        <is>
          <t>Kiểm chứng API ngăn chặn Khách hàng gửi Request tạo món ăn mới</t>
        </is>
      </c>
      <c r="H17" s="5" t="inlineStr">
        <is>
          <t>Đã đăng nhập vai trò Customer</t>
        </is>
      </c>
      <c r="I17" s="5" t="inlineStr">
        <is>
          <t>POST Request chứa thông tin món ăn mới gửi tới API /api/v1/admin/dishes</t>
        </is>
      </c>
      <c r="J17" s="5" t="inlineStr">
        <is>
          <t>1. Dùng Postman/curl gửi POST request kèm cookie của Customer</t>
        </is>
      </c>
      <c r="K17" s="5" t="inlineStr">
        <is>
          <t>Phía Máy chủ (Back-end) chặn request, trả về JSON HTTP Status 403 Forbidden</t>
        </is>
      </c>
      <c r="L17" s="5" t="inlineStr">
        <is>
          <t>API phản hồi 403 Forbidden, CSDL không phát sinh món ăn mới</t>
        </is>
      </c>
      <c r="M17" s="6" t="inlineStr">
        <is>
          <t>Đạt</t>
        </is>
      </c>
      <c r="N17" s="4" t="inlineStr">
        <is>
          <t>Rất cao</t>
        </is>
      </c>
      <c r="O17" s="4" t="inlineStr">
        <is>
          <t>V5 - Kiểm thử</t>
        </is>
      </c>
    </row>
    <row r="18" ht="42" customHeight="1">
      <c r="A18" s="7" t="inlineStr">
        <is>
          <t>TC-PERM-005</t>
        </is>
      </c>
      <c r="B18" s="7" t="inlineStr">
        <is>
          <t>PERM</t>
        </is>
      </c>
      <c r="C18" s="8" t="inlineStr">
        <is>
          <t>GET /api/v1/orders/102</t>
        </is>
      </c>
      <c r="D18" s="8" t="inlineStr">
        <is>
          <t>don_dat</t>
        </is>
      </c>
      <c r="E18" s="8" t="inlineStr">
        <is>
          <t>Trang Chi tiết đơn</t>
        </is>
      </c>
      <c r="F18" s="7" t="inlineStr">
        <is>
          <t>Luồng ngoại lệ</t>
        </is>
      </c>
      <c r="G18" s="8" t="inlineStr">
        <is>
          <t>Kiểm chứng Khách hàng A không thể xem đơn hàng của Khách hàng B (IDOR Security)</t>
        </is>
      </c>
      <c r="H18" s="8" t="inlineStr">
        <is>
          <t>Đã đăng nhập Khách hàng A (id=10)</t>
        </is>
      </c>
      <c r="I18" s="8" t="inlineStr">
        <is>
          <t>Mã đơn hàng 102 thuộc sở hữu của Khách hàng B (id=25)</t>
        </is>
      </c>
      <c r="J18" s="8" t="inlineStr">
        <is>
          <t>1. Khách A đổi URL thành /profile/orders/102</t>
        </is>
      </c>
      <c r="K18" s="8" t="inlineStr">
        <is>
          <t>Hệ thống phát hiện vi phạm quyền truy cập đối tượng (IDOR), trả về lỗi 403 hoặc 404</t>
        </is>
      </c>
      <c r="L18" s="8" t="inlineStr">
        <is>
          <t>Chặn thành công, trả về lỗi 403 'Bạn không có quyền xem đơn hàng này'</t>
        </is>
      </c>
      <c r="M18" s="6" t="inlineStr">
        <is>
          <t>Đạt</t>
        </is>
      </c>
      <c r="N18" s="7" t="inlineStr">
        <is>
          <t>Rất cao</t>
        </is>
      </c>
      <c r="O18" s="7" t="inlineStr">
        <is>
          <t>V5 - Kiểm thử</t>
        </is>
      </c>
    </row>
    <row r="19" ht="42" customHeight="1">
      <c r="A19" s="4" t="inlineStr">
        <is>
          <t>TC-PERM-006</t>
        </is>
      </c>
      <c r="B19" s="4" t="inlineStr">
        <is>
          <t>PERM</t>
        </is>
      </c>
      <c r="C19" s="5" t="inlineStr">
        <is>
          <t>GET /api/v1/admin/reports</t>
        </is>
      </c>
      <c r="D19" s="5" t="inlineStr">
        <is>
          <t>nguoi_dung</t>
        </is>
      </c>
      <c r="E19" s="5" t="inlineStr">
        <is>
          <t>Trang Báo cáo Admin</t>
        </is>
      </c>
      <c r="F19" s="4" t="inlineStr">
        <is>
          <t>Luồng ngoại lệ</t>
        </is>
      </c>
      <c r="G19" s="5" t="inlineStr">
        <is>
          <t>Kiểm chứng người dùng chưa đăng nhập (Guest) gọi API Admin bị chặn 401 Unauthorized</t>
        </is>
      </c>
      <c r="H19" s="5" t="inlineStr">
        <is>
          <t>Chưa đăng nhập (Guest)</t>
        </is>
      </c>
      <c r="I19" s="5" t="inlineStr">
        <is>
          <t>Request không chứa Session/Token gửi tới API Admin</t>
        </is>
      </c>
      <c r="J19" s="5" t="inlineStr">
        <is>
          <t>1. Gửi request GET /api/v1/admin/reports không có token</t>
        </is>
      </c>
      <c r="K19" s="5" t="inlineStr">
        <is>
          <t>Trả về HTTP Status 401 Unauthorized, yêu cầu đăng nhập</t>
        </is>
      </c>
      <c r="L19" s="5" t="inlineStr">
        <is>
          <t>Trả về 401 Unauthorized chuẩn</t>
        </is>
      </c>
      <c r="M19" s="6" t="inlineStr">
        <is>
          <t>Đạt</t>
        </is>
      </c>
      <c r="N19" s="4" t="inlineStr">
        <is>
          <t>Cao</t>
        </is>
      </c>
      <c r="O19" s="4" t="inlineStr">
        <is>
          <t>V5 - Kiểm thử</t>
        </is>
      </c>
    </row>
    <row r="20" ht="42" customHeight="1">
      <c r="A20" s="7" t="inlineStr">
        <is>
          <t>TC-PERM-007</t>
        </is>
      </c>
      <c r="B20" s="7" t="inlineStr">
        <is>
          <t>PERM</t>
        </is>
      </c>
      <c r="C20" s="8" t="inlineStr">
        <is>
          <t>POST /api/v1/admin/roles/assign</t>
        </is>
      </c>
      <c r="D20" s="8" t="inlineStr">
        <is>
          <t>nguoi_dung</t>
        </is>
      </c>
      <c r="E20" s="8" t="inlineStr">
        <is>
          <t>Trang Phân quyền Admin</t>
        </is>
      </c>
      <c r="F20" s="7" t="inlineStr">
        <is>
          <t>Giá trị biên</t>
        </is>
      </c>
      <c r="G20" s="8" t="inlineStr">
        <is>
          <t>Kiểm chứng không thể gán vai trò không hợp lệ (role='super_god')</t>
        </is>
      </c>
      <c r="H20" s="8" t="inlineStr">
        <is>
          <t>Đã đăng nhập Admin</t>
        </is>
      </c>
      <c r="I20" s="8" t="inlineStr">
        <is>
          <t>Body JSON: {user_id: 5, role: 'super_god'}</t>
        </is>
      </c>
      <c r="J20" s="8" t="inlineStr">
        <is>
          <t>1. Gửi request gán vai trò không nằm trong danh sách Enum (admin, customer, partner)</t>
        </is>
      </c>
      <c r="K20" s="8" t="inlineStr">
        <is>
          <t>Hệ thống kiểm tra validation, trả về lỗi 422 Unprocessable Entity</t>
        </is>
      </c>
      <c r="L20" s="8" t="inlineStr">
        <is>
          <t>Trả về lỗi 422 'Role không hợp lệ'</t>
        </is>
      </c>
      <c r="M20" s="6" t="inlineStr">
        <is>
          <t>Đạt</t>
        </is>
      </c>
      <c r="N20" s="7" t="inlineStr">
        <is>
          <t>Trung bình</t>
        </is>
      </c>
      <c r="O20" s="7" t="inlineStr">
        <is>
          <t>V5 - Kiểm thử</t>
        </is>
      </c>
    </row>
    <row r="21" ht="42" customHeight="1">
      <c r="A21" s="4" t="inlineStr">
        <is>
          <t>TC-CATL-001</t>
        </is>
      </c>
      <c r="B21" s="4" t="inlineStr">
        <is>
          <t>CATL</t>
        </is>
      </c>
      <c r="C21" s="5" t="inlineStr">
        <is>
          <t>GET /api/v1/dishes</t>
        </is>
      </c>
      <c r="D21" s="5" t="inlineStr">
        <is>
          <t>san_pham</t>
        </is>
      </c>
      <c r="E21" s="5" t="inlineStr">
        <is>
          <t>Trang Danh sách món ăn</t>
        </is>
      </c>
      <c r="F21" s="4" t="inlineStr">
        <is>
          <t>Luồng thuận</t>
        </is>
      </c>
      <c r="G21" s="5" t="inlineStr">
        <is>
          <t>Kiểm chứng hiển thị danh sách món ăn phân trang 12 mục / trang</t>
        </is>
      </c>
      <c r="H21" s="5" t="inlineStr">
        <is>
          <t>CSDL có 381 bản ghi món ăn</t>
        </is>
      </c>
      <c r="I21" s="5" t="inlineStr">
        <is>
          <t>Tham số: page=1, limit=12</t>
        </is>
      </c>
      <c r="J21" s="5" t="inlineStr">
        <is>
          <t>1. Mở trang /dishes
2. Xem danh sách món ăn hiển thị</t>
        </is>
      </c>
      <c r="K21" s="5" t="inlineStr">
        <is>
          <t>Hiển thị đúng 12 món ăn đầu tiên, có phân trang rõ ràng (tổng 32 trang)</t>
        </is>
      </c>
      <c r="L21" s="5" t="inlineStr">
        <is>
          <t>Hiển thị đúng 12 món ăn, thông tin ảnh, giá, tên khớp CSDL</t>
        </is>
      </c>
      <c r="M21" s="6" t="inlineStr">
        <is>
          <t>Đạt</t>
        </is>
      </c>
      <c r="N21" s="4" t="inlineStr">
        <is>
          <t>Cao</t>
        </is>
      </c>
      <c r="O21" s="4" t="inlineStr">
        <is>
          <t>V5 - Kiểm thử</t>
        </is>
      </c>
    </row>
    <row r="22" ht="42" customHeight="1">
      <c r="A22" s="7" t="inlineStr">
        <is>
          <t>TC-CATL-002</t>
        </is>
      </c>
      <c r="B22" s="7" t="inlineStr">
        <is>
          <t>CATL</t>
        </is>
      </c>
      <c r="C22" s="8" t="inlineStr">
        <is>
          <t>GET /api/v1/dishes?region=mien-bac</t>
        </is>
      </c>
      <c r="D22" s="8" t="inlineStr">
        <is>
          <t>san_pham</t>
        </is>
      </c>
      <c r="E22" s="8" t="inlineStr">
        <is>
          <t>Trang Danh sách món ăn</t>
        </is>
      </c>
      <c r="F22" s="7" t="inlineStr">
        <is>
          <t>Luồng thuận</t>
        </is>
      </c>
      <c r="G22" s="8" t="inlineStr">
        <is>
          <t>Kiểm chứng lọc món ăn theo Vùng miền (Miền Bắc)</t>
        </is>
      </c>
      <c r="H22" s="8" t="inlineStr">
        <is>
          <t>CSDL có dữ liệu món ăn các vùng</t>
        </is>
      </c>
      <c r="I22" s="8" t="inlineStr">
        <is>
          <t>Bộ lọc Vùng miền = Miền Bắc</t>
        </is>
      </c>
      <c r="J22" s="8" t="inlineStr">
        <is>
          <t>1. Chọn 'Miền Bắc' trên bộ lọc
2. Bấm 'Áp dụng'</t>
        </is>
      </c>
      <c r="K22" s="8" t="inlineStr">
        <is>
          <t>Danh sách chỉ hiển thị các món ăn thuộc vung_mien_id của Miền Bắc (ví dụ: Phở Hà Nội, Bún thang...)</t>
        </is>
      </c>
      <c r="L22" s="8" t="inlineStr">
        <is>
          <t>Lọc chính xác các món Miền Bắc</t>
        </is>
      </c>
      <c r="M22" s="6" t="inlineStr">
        <is>
          <t>Đạt</t>
        </is>
      </c>
      <c r="N22" s="7" t="inlineStr">
        <is>
          <t>Cao</t>
        </is>
      </c>
      <c r="O22" s="7" t="inlineStr">
        <is>
          <t>V5 - Kiểm thử</t>
        </is>
      </c>
    </row>
    <row r="23" ht="42" customHeight="1">
      <c r="A23" s="4" t="inlineStr">
        <is>
          <t>TC-CATL-003</t>
        </is>
      </c>
      <c r="B23" s="4" t="inlineStr">
        <is>
          <t>CATL</t>
        </is>
      </c>
      <c r="C23" s="5" t="inlineStr">
        <is>
          <t>GET /api/v1/dishes?q=Pho</t>
        </is>
      </c>
      <c r="D23" s="5" t="inlineStr">
        <is>
          <t>san_pham</t>
        </is>
      </c>
      <c r="E23" s="5" t="inlineStr">
        <is>
          <t>Thanh Tìm kiếm</t>
        </is>
      </c>
      <c r="F23" s="4" t="inlineStr">
        <is>
          <t>Luồng thuận</t>
        </is>
      </c>
      <c r="G23" s="5" t="inlineStr">
        <is>
          <t>Kiểm chứng tìm kiếm món ăn theo từ khóa 'Phở'</t>
        </is>
      </c>
      <c r="H23" s="5" t="inlineStr">
        <is>
          <t>CSDL có các món chứa từ 'Phở'</t>
        </is>
      </c>
      <c r="I23" s="5" t="inlineStr">
        <is>
          <t>Từ khóa tìm kiếm: 'Phở'</t>
        </is>
      </c>
      <c r="J23" s="5" t="inlineStr">
        <is>
          <t>1. Nhập 'Phở' vào ô tìm kiếm
2. Nhấn Enter</t>
        </is>
      </c>
      <c r="K23" s="5" t="inlineStr">
        <is>
          <t>Trả về kết quả danh sách các món có tên hoặc miêu tả chứa từ 'Phở'</t>
        </is>
      </c>
      <c r="L23" s="5" t="inlineStr">
        <is>
          <t>Trả về đúng danh sách các món Phở</t>
        </is>
      </c>
      <c r="M23" s="6" t="inlineStr">
        <is>
          <t>Đạt</t>
        </is>
      </c>
      <c r="N23" s="4" t="inlineStr">
        <is>
          <t>Cao</t>
        </is>
      </c>
      <c r="O23" s="4" t="inlineStr">
        <is>
          <t>V5 - Kiểm thử</t>
        </is>
      </c>
    </row>
    <row r="24" ht="42" customHeight="1">
      <c r="A24" s="7" t="inlineStr">
        <is>
          <t>TC-CATL-004</t>
        </is>
      </c>
      <c r="B24" s="7" t="inlineStr">
        <is>
          <t>CATL</t>
        </is>
      </c>
      <c r="C24" s="8" t="inlineStr">
        <is>
          <t>GET /api/v1/dishes?price_min=50000&amp;price_max=150000</t>
        </is>
      </c>
      <c r="D24" s="8" t="inlineStr">
        <is>
          <t>san_pham</t>
        </is>
      </c>
      <c r="E24" s="8" t="inlineStr">
        <is>
          <t>Trang Danh sách món ăn</t>
        </is>
      </c>
      <c r="F24" s="7" t="inlineStr">
        <is>
          <t>Luồng thuận</t>
        </is>
      </c>
      <c r="G24" s="8" t="inlineStr">
        <is>
          <t>Kiểm chứng lọc món ăn theo khoảng giá (50.000đ - 150.000đ)</t>
        </is>
      </c>
      <c r="H24" s="8" t="inlineStr">
        <is>
          <t>Đang ở trang danh sách</t>
        </is>
      </c>
      <c r="I24" s="8" t="inlineStr">
        <is>
          <t>Khoảng giá: price_min=50000, price_max=150000</t>
        </is>
      </c>
      <c r="J24" s="8" t="inlineStr">
        <is>
          <t>1. Nhập khoảng giá 50k - 150k
2. Bấm Lọc</t>
        </is>
      </c>
      <c r="K24" s="8" t="inlineStr">
        <is>
          <t>Chỉ hiển thị các món có gia_tham_khao nằm trong khoảng từ 50.000 đến 150.000 VNĐ</t>
        </is>
      </c>
      <c r="L24" s="8" t="inlineStr">
        <is>
          <t>Hiển thị đúng danh sách món ăn trong khoảng giá</t>
        </is>
      </c>
      <c r="M24" s="6" t="inlineStr">
        <is>
          <t>Đạt</t>
        </is>
      </c>
      <c r="N24" s="7" t="inlineStr">
        <is>
          <t>Trung bình</t>
        </is>
      </c>
      <c r="O24" s="7" t="inlineStr">
        <is>
          <t>V5 - Kiểm thử</t>
        </is>
      </c>
    </row>
    <row r="25" ht="42" customHeight="1">
      <c r="A25" s="4" t="inlineStr">
        <is>
          <t>TC-CATL-005</t>
        </is>
      </c>
      <c r="B25" s="4" t="inlineStr">
        <is>
          <t>CATL</t>
        </is>
      </c>
      <c r="C25" s="5" t="inlineStr">
        <is>
          <t>GET /api/v1/dishes?q=XYZ123NonExistent</t>
        </is>
      </c>
      <c r="D25" s="5" t="inlineStr">
        <is>
          <t>san_pham</t>
        </is>
      </c>
      <c r="E25" s="5" t="inlineStr">
        <is>
          <t>Trang Danh sách món ăn</t>
        </is>
      </c>
      <c r="F25" s="4" t="inlineStr">
        <is>
          <t>Luồng ngoại lệ</t>
        </is>
      </c>
      <c r="G25" s="5" t="inlineStr">
        <is>
          <t>Kiểm chứng hiển thị thông báo trống khi tìm kiếm từ khóa không tồn tại</t>
        </is>
      </c>
      <c r="H25" s="5" t="inlineStr">
        <is>
          <t>Đang ở trang danh sách</t>
        </is>
      </c>
      <c r="I25" s="5" t="inlineStr">
        <is>
          <t>Từ khóa: 'XYZ123NonExistent'</t>
        </is>
      </c>
      <c r="J25" s="5" t="inlineStr">
        <is>
          <t>1. Nhập từ khóa không có trong CSDL
2. Nhấn tìm kiếm</t>
        </is>
      </c>
      <c r="K25" s="5" t="inlineStr">
        <is>
          <t>Hiển thị giao diện 'Không tìm thấy món ăn nào phù hợp' kèm gợi ý tìm lại</t>
        </is>
      </c>
      <c r="L25" s="5" t="inlineStr">
        <is>
          <t>Hiển thị giao diện empty state chuẩn, không bị lỗi server 500</t>
        </is>
      </c>
      <c r="M25" s="6" t="inlineStr">
        <is>
          <t>Đạt</t>
        </is>
      </c>
      <c r="N25" s="4" t="inlineStr">
        <is>
          <t>Trung bình</t>
        </is>
      </c>
      <c r="O25" s="4" t="inlineStr">
        <is>
          <t>V5 - Kiểm thử</t>
        </is>
      </c>
    </row>
    <row r="26" ht="42" customHeight="1">
      <c r="A26" s="7" t="inlineStr">
        <is>
          <t>TC-CATL-006</t>
        </is>
      </c>
      <c r="B26" s="7" t="inlineStr">
        <is>
          <t>CATL</t>
        </is>
      </c>
      <c r="C26" s="8" t="inlineStr">
        <is>
          <t>GET /api/v1/dishes?page=-1</t>
        </is>
      </c>
      <c r="D26" s="8" t="inlineStr">
        <is>
          <t>san_pham</t>
        </is>
      </c>
      <c r="E26" s="8" t="inlineStr">
        <is>
          <t>Trang Danh sách món ăn</t>
        </is>
      </c>
      <c r="F26" s="7" t="inlineStr">
        <is>
          <t>Luồng ngoại lệ</t>
        </is>
      </c>
      <c r="G26" s="8" t="inlineStr">
        <is>
          <t>Kiểm chứng xử lý số trang âm (page=-1)</t>
        </is>
      </c>
      <c r="H26" s="8" t="inlineStr">
        <is>
          <t>Đang ở trang danh sách</t>
        </is>
      </c>
      <c r="I26" s="8" t="inlineStr">
        <is>
          <t>Tham số: page=-1</t>
        </is>
      </c>
      <c r="J26" s="8" t="inlineStr">
        <is>
          <t>1. Thay đổi URL thành /dishes?page=-1</t>
        </is>
      </c>
      <c r="K26" s="8" t="inlineStr">
        <is>
          <t>Hệ thống tự động quy đổi về page=1 hoặc trả về lỗi validation 422</t>
        </is>
      </c>
      <c r="L26" s="8" t="inlineStr">
        <is>
          <t>Tự động điều hướng về trang 1 an toàn</t>
        </is>
      </c>
      <c r="M26" s="6" t="inlineStr">
        <is>
          <t>Đạt</t>
        </is>
      </c>
      <c r="N26" s="7" t="inlineStr">
        <is>
          <t>Thấp</t>
        </is>
      </c>
      <c r="O26" s="7" t="inlineStr">
        <is>
          <t>V5 - Kiểm thử</t>
        </is>
      </c>
    </row>
    <row r="27" ht="42" customHeight="1">
      <c r="A27" s="4" t="inlineStr">
        <is>
          <t>TC-CATL-007</t>
        </is>
      </c>
      <c r="B27" s="4" t="inlineStr">
        <is>
          <t>CATL</t>
        </is>
      </c>
      <c r="C27" s="5" t="inlineStr">
        <is>
          <t>GET /api/v1/dishes?sort=invalid_column</t>
        </is>
      </c>
      <c r="D27" s="5" t="inlineStr">
        <is>
          <t>san_pham</t>
        </is>
      </c>
      <c r="E27" s="5" t="inlineStr">
        <is>
          <t>Trang Danh sách món ăn</t>
        </is>
      </c>
      <c r="F27" s="4" t="inlineStr">
        <is>
          <t>Luồng ngoại lệ</t>
        </is>
      </c>
      <c r="G27" s="5" t="inlineStr">
        <is>
          <t>Kiểm chứng chống lỗi SQL Injection qua tham số sắp xếp (sort)</t>
        </is>
      </c>
      <c r="H27" s="5" t="inlineStr">
        <is>
          <t>Đang ở trang danh sách</t>
        </is>
      </c>
      <c r="I27" s="5" t="inlineStr">
        <is>
          <t>Tham số: sort=price; DROP TABLE users;--</t>
        </is>
      </c>
      <c r="J27" s="5" t="inlineStr">
        <is>
          <t>1. Gửi request chứa câu lệnh SQL qua param sort</t>
        </is>
      </c>
      <c r="K27" s="5" t="inlineStr">
        <is>
          <t>Hệ thống bắt lỗi whitelist cột sắp xếp, từ chối request 422, CSDL an toàn 100%</t>
        </is>
      </c>
      <c r="L27" s="5" t="inlineStr">
        <is>
          <t>Từ chối request, không xảy ra SQL Injection</t>
        </is>
      </c>
      <c r="M27" s="6" t="inlineStr">
        <is>
          <t>Đạt</t>
        </is>
      </c>
      <c r="N27" s="4" t="inlineStr">
        <is>
          <t>Rất cao</t>
        </is>
      </c>
      <c r="O27" s="4" t="inlineStr">
        <is>
          <t>V5 - Kiểm thử</t>
        </is>
      </c>
    </row>
    <row r="28" ht="42" customHeight="1">
      <c r="A28" s="7" t="inlineStr">
        <is>
          <t>TC-CATL-008</t>
        </is>
      </c>
      <c r="B28" s="7" t="inlineStr">
        <is>
          <t>CATL</t>
        </is>
      </c>
      <c r="C28" s="8" t="inlineStr">
        <is>
          <t>GET /api/v1/dishes?limit=1000</t>
        </is>
      </c>
      <c r="D28" s="8" t="inlineStr">
        <is>
          <t>san_pham</t>
        </is>
      </c>
      <c r="E28" s="8" t="inlineStr">
        <is>
          <t>Trang Danh sách món ăn</t>
        </is>
      </c>
      <c r="F28" s="7" t="inlineStr">
        <is>
          <t>Giá trị biên</t>
        </is>
      </c>
      <c r="G28" s="8" t="inlineStr">
        <is>
          <t>Kiểm chứng giới hạn số lượng mục trên 1 trang (max limit=100)</t>
        </is>
      </c>
      <c r="H28" s="8" t="inlineStr">
        <is>
          <t>Đang ở trang danh sách</t>
        </is>
      </c>
      <c r="I28" s="8" t="inlineStr">
        <is>
          <t>Tham số: limit=1000</t>
        </is>
      </c>
      <c r="J28" s="8" t="inlineStr">
        <is>
          <t>1. Gửi request yêu cầu limit=1000 mục/trang</t>
        </is>
      </c>
      <c r="K28" s="8" t="inlineStr">
        <is>
          <t>Hệ thống tự động giới hạn max limit = 100 mục để bảo vệ hiệu năng server</t>
        </is>
      </c>
      <c r="L28" s="8" t="inlineStr">
        <is>
          <t>Trả về đúng 100 bản ghi max</t>
        </is>
      </c>
      <c r="M28" s="6" t="inlineStr">
        <is>
          <t>Đạt</t>
        </is>
      </c>
      <c r="N28" s="7" t="inlineStr">
        <is>
          <t>Cao</t>
        </is>
      </c>
      <c r="O28" s="7" t="inlineStr">
        <is>
          <t>V5 - Kiểm thử</t>
        </is>
      </c>
    </row>
    <row r="29" ht="42" customHeight="1">
      <c r="A29" s="4" t="inlineStr">
        <is>
          <t>TC-CATL-009</t>
        </is>
      </c>
      <c r="B29" s="4" t="inlineStr">
        <is>
          <t>CATL</t>
        </is>
      </c>
      <c r="C29" s="5" t="inlineStr">
        <is>
          <t>GET /api/v1/dishes?q=&lt;script&gt;alert(1)&lt;/script&gt;</t>
        </is>
      </c>
      <c r="D29" s="5" t="inlineStr">
        <is>
          <t>san_pham</t>
        </is>
      </c>
      <c r="E29" s="5" t="inlineStr">
        <is>
          <t>Thanh Tìm kiếm</t>
        </is>
      </c>
      <c r="F29" s="4" t="inlineStr">
        <is>
          <t>Giá trị biên</t>
        </is>
      </c>
      <c r="G29" s="5" t="inlineStr">
        <is>
          <t>Kiểm chứng chống XSS trong ô tìm kiếm</t>
        </is>
      </c>
      <c r="H29" s="5" t="inlineStr">
        <is>
          <t>Đang ở trang tìm kiếm</t>
        </is>
      </c>
      <c r="I29" s="5" t="inlineStr">
        <is>
          <t>Từ khóa: '&lt;script&gt;alert(1)&lt;/script&gt;'</t>
        </is>
      </c>
      <c r="J29" s="5" t="inlineStr">
        <is>
          <t>1. Nhập mã script vào ô tìm kiếm
2. Nhấn tìm kiếm</t>
        </is>
      </c>
      <c r="K29" s="5" t="inlineStr">
        <is>
          <t>Hệ thống encode HTML mã hóa ký tự đặc biệt, không thực thi script trên trình duyệt</t>
        </is>
      </c>
      <c r="L29" s="5" t="inlineStr">
        <is>
          <t>Xử lý chuỗi an toàn, mã script hiển thị dạng văn bản thuần</t>
        </is>
      </c>
      <c r="M29" s="6" t="inlineStr">
        <is>
          <t>Đạt</t>
        </is>
      </c>
      <c r="N29" s="4" t="inlineStr">
        <is>
          <t>Rất cao</t>
        </is>
      </c>
      <c r="O29" s="4" t="inlineStr">
        <is>
          <t>V5 - Kiểm thử</t>
        </is>
      </c>
    </row>
    <row r="30" ht="42" customHeight="1">
      <c r="A30" s="7" t="inlineStr">
        <is>
          <t>TC-CATL-010</t>
        </is>
      </c>
      <c r="B30" s="7" t="inlineStr">
        <is>
          <t>CATL</t>
        </is>
      </c>
      <c r="C30" s="8" t="inlineStr">
        <is>
          <t>GET /api/v1/dishes?price_min=0&amp;price_max=0</t>
        </is>
      </c>
      <c r="D30" s="8" t="inlineStr">
        <is>
          <t>san_pham</t>
        </is>
      </c>
      <c r="E30" s="8" t="inlineStr">
        <is>
          <t>Trang Danh sách món ăn</t>
        </is>
      </c>
      <c r="F30" s="7" t="inlineStr">
        <is>
          <t>Giá trị biên</t>
        </is>
      </c>
      <c r="G30" s="8" t="inlineStr">
        <is>
          <t>Kiểm chứng lọc món ăn giá 0 đồng (miễn phí / quà tặng)</t>
        </is>
      </c>
      <c r="H30" s="8" t="inlineStr">
        <is>
          <t>CSDL có bản ghi món ăn giá 0đ</t>
        </is>
      </c>
      <c r="I30" s="8" t="inlineStr">
        <is>
          <t>Tham số: price_min=0, price_max=0</t>
        </is>
      </c>
      <c r="J30" s="8" t="inlineStr">
        <is>
          <t>1. Lọc giá từ 0 đến 0 VNĐ</t>
        </is>
      </c>
      <c r="K30" s="8" t="inlineStr">
        <is>
          <t>Hiển thị các món ẩm thực miễn phí/trải nghiệm dùng thử nếu có</t>
        </is>
      </c>
      <c r="L30" s="8" t="inlineStr">
        <is>
          <t>Hiển thị đúng kết quả món 0đ</t>
        </is>
      </c>
      <c r="M30" s="6" t="inlineStr">
        <is>
          <t>Đạt</t>
        </is>
      </c>
      <c r="N30" s="7" t="inlineStr">
        <is>
          <t>Trung bình</t>
        </is>
      </c>
      <c r="O30" s="7" t="inlineStr">
        <is>
          <t>V5 - Kiểm thử</t>
        </is>
      </c>
    </row>
    <row r="31" ht="42" customHeight="1">
      <c r="A31" s="4" t="inlineStr">
        <is>
          <t>TC-BOOK-001</t>
        </is>
      </c>
      <c r="B31" s="4" t="inlineStr">
        <is>
          <t>BOOK</t>
        </is>
      </c>
      <c r="C31" s="5" t="inlineStr">
        <is>
          <t>POST /api/v1/bookings</t>
        </is>
      </c>
      <c r="D31" s="5" t="inlineStr">
        <is>
          <t>don_dat, chi_tiet_don</t>
        </is>
      </c>
      <c r="E31" s="5" t="inlineStr">
        <is>
          <t>Trang Chi tiết &amp; Đặt chỗ</t>
        </is>
      </c>
      <c r="F31" s="4" t="inlineStr">
        <is>
          <t>Luồng thuận</t>
        </is>
      </c>
      <c r="G31" s="5" t="inlineStr">
        <is>
          <t>Kiểm chứng tạo đơn đặt chỗ trải nghiệm ẩm thực thành công</t>
        </is>
      </c>
      <c r="H31" s="5" t="inlineStr">
        <is>
          <t>Đã đăng nhập Customer; món ăn còn slot khả dụng</t>
        </is>
      </c>
      <c r="I31" s="5" t="inlineStr">
        <is>
          <t>Món ăn ID: 15, Ngày: 2026-10-15, Số suất: 2, Số điện thoại: 0912345678</t>
        </is>
      </c>
      <c r="J31" s="5" t="inlineStr">
        <is>
          <t>1. Mở trang chi tiết món ăn
2. Chọn ngày và số suất
3. Bấm 'Đặt chỗ ngay'</t>
        </is>
      </c>
      <c r="K31" s="5" t="inlineStr">
        <is>
          <t>Tạo đơn thành công, lưu bản ghi vào don_dat và chi_tiet_don, chuyển sang trang xác nhận đơn</t>
        </is>
      </c>
      <c r="L31" s="5" t="inlineStr">
        <is>
          <t>Đơn được tạo với status='pending_payment', trừ slot khả dụng trong lich_kha_dung</t>
        </is>
      </c>
      <c r="M31" s="6" t="inlineStr">
        <is>
          <t>Đạt</t>
        </is>
      </c>
      <c r="N31" s="4" t="inlineStr">
        <is>
          <t>Rất cao</t>
        </is>
      </c>
      <c r="O31" s="4" t="inlineStr">
        <is>
          <t>V5 - Kiểm thử</t>
        </is>
      </c>
    </row>
    <row r="32" ht="42" customHeight="1">
      <c r="A32" s="7" t="inlineStr">
        <is>
          <t>TC-BOOK-002</t>
        </is>
      </c>
      <c r="B32" s="7" t="inlineStr">
        <is>
          <t>BOOK</t>
        </is>
      </c>
      <c r="C32" s="8" t="inlineStr">
        <is>
          <t>POST /api/v1/bookings/hold</t>
        </is>
      </c>
      <c r="D32" s="8" t="inlineStr">
        <is>
          <t>lich_kha_dung</t>
        </is>
      </c>
      <c r="E32" s="8" t="inlineStr">
        <is>
          <t>Trang Chi tiết &amp; Đặt chỗ</t>
        </is>
      </c>
      <c r="F32" s="7" t="inlineStr">
        <is>
          <t>Luồng thuận</t>
        </is>
      </c>
      <c r="G32" s="8" t="inlineStr">
        <is>
          <t>Kiểm chứng giữ chỗ tạm thời có thời hạn (15 phút)</t>
        </is>
      </c>
      <c r="H32" s="8" t="inlineStr">
        <is>
          <t>Đã chọn suất trải nghiệm ẩm thực</t>
        </is>
      </c>
      <c r="I32" s="8" t="inlineStr">
        <is>
          <t>Slot ID: 102, Thời gian giữ: 15 phút</t>
        </is>
      </c>
      <c r="J32" s="8" t="inlineStr">
        <is>
          <t>1. Bấm đặt chỗ
2. Kiểm tra đếm ngược giữ chỗ</t>
        </is>
      </c>
      <c r="K32" s="8" t="inlineStr">
        <is>
          <t>Giữ chỗ thành công, hiển thị đồng hồ đếm ngược 15:00 phút trên giao diện</t>
        </is>
      </c>
      <c r="L32" s="8" t="inlineStr">
        <is>
          <t>Slot được khóa tạm thời trong 15 phút cho tài khoản</t>
        </is>
      </c>
      <c r="M32" s="6" t="inlineStr">
        <is>
          <t>Đạt</t>
        </is>
      </c>
      <c r="N32" s="7" t="inlineStr">
        <is>
          <t>Cao</t>
        </is>
      </c>
      <c r="O32" s="7" t="inlineStr">
        <is>
          <t>V5 - Kiểm thử</t>
        </is>
      </c>
    </row>
    <row r="33" ht="42" customHeight="1">
      <c r="A33" s="4" t="inlineStr">
        <is>
          <t>TC-BOOK-003</t>
        </is>
      </c>
      <c r="B33" s="4" t="inlineStr">
        <is>
          <t>BOOK</t>
        </is>
      </c>
      <c r="C33" s="5" t="inlineStr">
        <is>
          <t>GET /api/v1/bookings/my-bookings</t>
        </is>
      </c>
      <c r="D33" s="5" t="inlineStr">
        <is>
          <t>don_dat</t>
        </is>
      </c>
      <c r="E33" s="5" t="inlineStr">
        <is>
          <t>Trang Lịch sử đặt chỗ</t>
        </is>
      </c>
      <c r="F33" s="4" t="inlineStr">
        <is>
          <t>Luồng thuận</t>
        </is>
      </c>
      <c r="G33" s="5" t="inlineStr">
        <is>
          <t>Kiểm chứng xem danh sách đơn đặt chỗ của tôi</t>
        </is>
      </c>
      <c r="H33" s="5" t="inlineStr">
        <is>
          <t>Khách hàng đã từng đặt ít nhất 1 đơn</t>
        </is>
      </c>
      <c r="I33" s="5" t="inlineStr">
        <is>
          <t>Phiên đăng nhập Customer</t>
        </is>
      </c>
      <c r="J33" s="5" t="inlineStr">
        <is>
          <t>1. Truy cập /profile/bookings
2. Xem danh sách đơn</t>
        </is>
      </c>
      <c r="K33" s="5" t="inlineStr">
        <is>
          <t>Hiển thị đầy đủ danh sách đơn đặt chỗ kèm trạng thái (Đã thanh toán, Chờ xử lý...)</t>
        </is>
      </c>
      <c r="L33" s="5" t="inlineStr">
        <is>
          <t>Hiển thị chính xác lịch sử đơn đặt</t>
        </is>
      </c>
      <c r="M33" s="6" t="inlineStr">
        <is>
          <t>Đạt</t>
        </is>
      </c>
      <c r="N33" s="4" t="inlineStr">
        <is>
          <t>Cao</t>
        </is>
      </c>
      <c r="O33" s="4" t="inlineStr">
        <is>
          <t>V5 - Kiểm thử</t>
        </is>
      </c>
    </row>
    <row r="34" ht="42" customHeight="1">
      <c r="A34" s="7" t="inlineStr">
        <is>
          <t>TC-BOOK-004</t>
        </is>
      </c>
      <c r="B34" s="7" t="inlineStr">
        <is>
          <t>BOOK</t>
        </is>
      </c>
      <c r="C34" s="8" t="inlineStr">
        <is>
          <t>POST /api/v1/bookings</t>
        </is>
      </c>
      <c r="D34" s="8" t="inlineStr">
        <is>
          <t>lich_kha_dung</t>
        </is>
      </c>
      <c r="E34" s="8" t="inlineStr">
        <is>
          <t>Trang Chi tiết &amp; Đặt chỗ</t>
        </is>
      </c>
      <c r="F34" s="7" t="inlineStr">
        <is>
          <t>Luồng ngoại lệ</t>
        </is>
      </c>
      <c r="G34" s="8" t="inlineStr">
        <is>
          <t>Kiểm chứng xử lý tranh chấp đồng thời khi 2 phiên cùng đặt 1 chỗ cuối cùng (Concurrency Test)</t>
        </is>
      </c>
      <c r="H34" s="8" t="inlineStr">
        <is>
          <t>Slot khả dụng còn đúng 1 suất</t>
        </is>
      </c>
      <c r="I34" s="8" t="inlineStr">
        <is>
          <t>User A và User B cùng bấm 'Đặt chỗ' chính xác tại millisecond T0</t>
        </is>
      </c>
      <c r="J34" s="8" t="inlineStr">
        <is>
          <t>1. Giả lập 2 request POST gửi song song tới server trong cùng 1 giây</t>
        </is>
      </c>
      <c r="K34" s="8" t="inlineStr">
        <is>
          <t>Chỉ 1 request thành công (Database Transaction Lock), request thứ 2 bị từ chối với lỗi 'Đã hết chỗ'</t>
        </is>
      </c>
      <c r="L34" s="8" t="inlineStr">
        <is>
          <t>DB cách ly thành công, không bị oversell (bán quá số lượng)</t>
        </is>
      </c>
      <c r="M34" s="6" t="inlineStr">
        <is>
          <t>Đạt</t>
        </is>
      </c>
      <c r="N34" s="7" t="inlineStr">
        <is>
          <t>Rất cao</t>
        </is>
      </c>
      <c r="O34" s="7" t="inlineStr">
        <is>
          <t>V5 - Kiểm thử</t>
        </is>
      </c>
    </row>
    <row r="35" ht="42" customHeight="1">
      <c r="A35" s="4" t="inlineStr">
        <is>
          <t>TC-BOOK-005</t>
        </is>
      </c>
      <c r="B35" s="4" t="inlineStr">
        <is>
          <t>BOOK</t>
        </is>
      </c>
      <c r="C35" s="5" t="inlineStr">
        <is>
          <t>POST /api/v1/bookings</t>
        </is>
      </c>
      <c r="D35" s="5" t="inlineStr">
        <is>
          <t>lich_kha_dung</t>
        </is>
      </c>
      <c r="E35" s="5" t="inlineStr">
        <is>
          <t>Trang Chi tiết &amp; Đặt chỗ</t>
        </is>
      </c>
      <c r="F35" s="4" t="inlineStr">
        <is>
          <t>Luồng ngoại lệ</t>
        </is>
      </c>
      <c r="G35" s="5" t="inlineStr">
        <is>
          <t>Kiểm chứng từ chối đặt chỗ khi slot khả dụng bằng 0 (Hết chỗ)</t>
        </is>
      </c>
      <c r="H35" s="5" t="inlineStr">
        <is>
          <t>Slot khả dụng số lượng = 0</t>
        </is>
      </c>
      <c r="I35" s="5" t="inlineStr">
        <is>
          <t>Món ăn ID: 20, Số suất: 1</t>
        </is>
      </c>
      <c r="J35" s="5" t="inlineStr">
        <is>
          <t>1. Chọn suất trên giao diện
2. Bấm Đặt chỗ</t>
        </is>
      </c>
      <c r="K35" s="5" t="inlineStr">
        <is>
          <t>Nút đặt chỗ bị vô hiệu hóa hoặc API trả về lỗi 400 'Suất trải nghiệm đã hết'</t>
        </is>
      </c>
      <c r="L35" s="5" t="inlineStr">
        <is>
          <t>Từ chối tạo đơn thành công</t>
        </is>
      </c>
      <c r="M35" s="6" t="inlineStr">
        <is>
          <t>Đạt</t>
        </is>
      </c>
      <c r="N35" s="4" t="inlineStr">
        <is>
          <t>Cao</t>
        </is>
      </c>
      <c r="O35" s="4" t="inlineStr">
        <is>
          <t>V5 - Kiểm thử</t>
        </is>
      </c>
    </row>
    <row r="36" ht="42" customHeight="1">
      <c r="A36" s="7" t="inlineStr">
        <is>
          <t>TC-BOOK-006</t>
        </is>
      </c>
      <c r="B36" s="7" t="inlineStr">
        <is>
          <t>BOOK</t>
        </is>
      </c>
      <c r="C36" s="8" t="inlineStr">
        <is>
          <t>POST /api/v1/bookings</t>
        </is>
      </c>
      <c r="D36" s="8" t="inlineStr">
        <is>
          <t>don_dat</t>
        </is>
      </c>
      <c r="E36" s="8" t="inlineStr">
        <is>
          <t>Trang Chi tiết &amp; Đặt chỗ</t>
        </is>
      </c>
      <c r="F36" s="7" t="inlineStr">
        <is>
          <t>Luồng ngoại lệ</t>
        </is>
      </c>
      <c r="G36" s="8" t="inlineStr">
        <is>
          <t>Kiểm chứng tự động nhả slot khi hết 15 phút không thanh toán</t>
        </is>
      </c>
      <c r="H36" s="8" t="inlineStr">
        <is>
          <t>Đơn hàng được giữ chỗ tại T0</t>
        </is>
      </c>
      <c r="I36" s="8" t="inlineStr">
        <is>
          <t>Thời gian trôi qua 15 phút 01 giây mà chưa thanh toán</t>
        </is>
      </c>
      <c r="J36" s="8" t="inlineStr">
        <is>
          <t>1. Chờ cronjob/scheduler chạy kiểm tra đơn hết hạn</t>
        </is>
      </c>
      <c r="K36" s="8" t="inlineStr">
        <is>
          <t>Trạng thái đơn đổi thành 'expired', slot khả dụng trong lich_kha_dung được cộng trả lại</t>
        </is>
      </c>
      <c r="L36" s="8" t="inlineStr">
        <is>
          <t>Nhả slot tự động thành công</t>
        </is>
      </c>
      <c r="M36" s="6" t="inlineStr">
        <is>
          <t>Đạt</t>
        </is>
      </c>
      <c r="N36" s="7" t="inlineStr">
        <is>
          <t>Rất cao</t>
        </is>
      </c>
      <c r="O36" s="7" t="inlineStr">
        <is>
          <t>V5 - Kiểm thử</t>
        </is>
      </c>
    </row>
    <row r="37" ht="42" customHeight="1">
      <c r="A37" s="4" t="inlineStr">
        <is>
          <t>TC-BOOK-007</t>
        </is>
      </c>
      <c r="B37" s="4" t="inlineStr">
        <is>
          <t>BOOK</t>
        </is>
      </c>
      <c r="C37" s="5" t="inlineStr">
        <is>
          <t>POST /api/v1/bookings</t>
        </is>
      </c>
      <c r="D37" s="5" t="inlineStr">
        <is>
          <t>don_dat</t>
        </is>
      </c>
      <c r="E37" s="5" t="inlineStr">
        <is>
          <t>Trang Chi tiết &amp; Đặt chỗ</t>
        </is>
      </c>
      <c r="F37" s="4" t="inlineStr">
        <is>
          <t>Luồng ngoại lệ</t>
        </is>
      </c>
      <c r="G37" s="5" t="inlineStr">
        <is>
          <t>Kiểm chứng từ chối đặt chỗ với ngày trong quá khứ</t>
        </is>
      </c>
      <c r="H37" s="5" t="inlineStr">
        <is>
          <t>Đang ở form đặt chỗ</t>
        </is>
      </c>
      <c r="I37" s="5" t="inlineStr">
        <is>
          <t>Ngày chọn: 2020-01-01 (Ngày quá khứ)</t>
        </is>
      </c>
      <c r="J37" s="5" t="inlineStr">
        <is>
          <t>1. Chọn ngày quá khứ trên DatePicker
2. Bấm Đặt chỗ</t>
        </is>
      </c>
      <c r="K37" s="5" t="inlineStr">
        <is>
          <t>Hệ thống báo lỗi validation 'Ngày đặt chỗ phải từ hôm nay trở đi'</t>
        </is>
      </c>
      <c r="L37" s="5" t="inlineStr">
        <is>
          <t>Hiển thị lỗi chính xác</t>
        </is>
      </c>
      <c r="M37" s="6" t="inlineStr">
        <is>
          <t>Đạt</t>
        </is>
      </c>
      <c r="N37" s="4" t="inlineStr">
        <is>
          <t>Trung bình</t>
        </is>
      </c>
      <c r="O37" s="4" t="inlineStr">
        <is>
          <t>V5 - Kiểm thử</t>
        </is>
      </c>
    </row>
    <row r="38" ht="42" customHeight="1">
      <c r="A38" s="7" t="inlineStr">
        <is>
          <t>TC-BOOK-008</t>
        </is>
      </c>
      <c r="B38" s="7" t="inlineStr">
        <is>
          <t>BOOK</t>
        </is>
      </c>
      <c r="C38" s="8" t="inlineStr">
        <is>
          <t>POST /api/v1/bookings</t>
        </is>
      </c>
      <c r="D38" s="8" t="inlineStr">
        <is>
          <t>chi_tiet_don</t>
        </is>
      </c>
      <c r="E38" s="8" t="inlineStr">
        <is>
          <t>Trang Chi tiết &amp; Đặt chỗ</t>
        </is>
      </c>
      <c r="F38" s="7" t="inlineStr">
        <is>
          <t>Giá trị biên</t>
        </is>
      </c>
      <c r="G38" s="8" t="inlineStr">
        <is>
          <t>Kiểm chứng đặt số lượng suất tối đa cho phép trong 1 đơn (max=20 suất)</t>
        </is>
      </c>
      <c r="H38" s="8" t="inlineStr">
        <is>
          <t>Đang ở form đặt chỗ</t>
        </is>
      </c>
      <c r="I38" s="8" t="inlineStr">
        <is>
          <t>Số suất: 20 (Max limit)</t>
        </is>
      </c>
      <c r="J38" s="8" t="inlineStr">
        <is>
          <t>1. Nhập số suất = 20
2. Bấm Đặt chỗ</t>
        </is>
      </c>
      <c r="K38" s="8" t="inlineStr">
        <is>
          <t>Tạo đơn thành công với 20 suất, tính tổng tiền chính xác</t>
        </is>
      </c>
      <c r="L38" s="8" t="inlineStr">
        <is>
          <t>Tạo đơn thành công đúng 20 suất</t>
        </is>
      </c>
      <c r="M38" s="6" t="inlineStr">
        <is>
          <t>Đạt</t>
        </is>
      </c>
      <c r="N38" s="7" t="inlineStr">
        <is>
          <t>Trung bình</t>
        </is>
      </c>
      <c r="O38" s="7" t="inlineStr">
        <is>
          <t>V5 - Kiểm thử</t>
        </is>
      </c>
    </row>
    <row r="39" ht="42" customHeight="1">
      <c r="A39" s="4" t="inlineStr">
        <is>
          <t>TC-BOOK-009</t>
        </is>
      </c>
      <c r="B39" s="4" t="inlineStr">
        <is>
          <t>BOOK</t>
        </is>
      </c>
      <c r="C39" s="5" t="inlineStr">
        <is>
          <t>POST /api/v1/bookings</t>
        </is>
      </c>
      <c r="D39" s="5" t="inlineStr">
        <is>
          <t>chi_tiet_don</t>
        </is>
      </c>
      <c r="E39" s="5" t="inlineStr">
        <is>
          <t>Trang Chi tiết &amp; Đặt chỗ</t>
        </is>
      </c>
      <c r="F39" s="4" t="inlineStr">
        <is>
          <t>Giá trị biên</t>
        </is>
      </c>
      <c r="G39" s="5" t="inlineStr">
        <is>
          <t>Kiểm chứng từ chối đặt số lượng suất = 0 hoặc âm (-1 suất)</t>
        </is>
      </c>
      <c r="H39" s="5" t="inlineStr">
        <is>
          <t>Đang ở form đặt chỗ</t>
        </is>
      </c>
      <c r="I39" s="5" t="inlineStr">
        <is>
          <t>Số suất: 0 hoặc -1</t>
        </is>
      </c>
      <c r="J39" s="5" t="inlineStr">
        <is>
          <t>1. Nhập số suất = 0
2. Bấm Đặt chỗ</t>
        </is>
      </c>
      <c r="K39" s="5" t="inlineStr">
        <is>
          <t>Lỗi validation 'Số lượng suất phải lớn hơn hoặc bằng 1'</t>
        </is>
      </c>
      <c r="L39" s="5" t="inlineStr">
        <is>
          <t>Từ chối tạo đơn thành công</t>
        </is>
      </c>
      <c r="M39" s="6" t="inlineStr">
        <is>
          <t>Đạt</t>
        </is>
      </c>
      <c r="N39" s="4" t="inlineStr">
        <is>
          <t>Trung bình</t>
        </is>
      </c>
      <c r="O39" s="4" t="inlineStr">
        <is>
          <t>V5 - Kiểm thử</t>
        </is>
      </c>
    </row>
    <row r="40" ht="42" customHeight="1">
      <c r="A40" s="7" t="inlineStr">
        <is>
          <t>TC-BOOK-010</t>
        </is>
      </c>
      <c r="B40" s="7" t="inlineStr">
        <is>
          <t>BOOK</t>
        </is>
      </c>
      <c r="C40" s="8" t="inlineStr">
        <is>
          <t>POST /api/v1/bookings</t>
        </is>
      </c>
      <c r="D40" s="8" t="inlineStr">
        <is>
          <t>chi_tiet_don</t>
        </is>
      </c>
      <c r="E40" s="8" t="inlineStr">
        <is>
          <t>Trang Chi tiết &amp; Đặt chỗ</t>
        </is>
      </c>
      <c r="F40" s="7" t="inlineStr">
        <is>
          <t>Giá trị biên</t>
        </is>
      </c>
      <c r="G40" s="8" t="inlineStr">
        <is>
          <t>Kiểm chứng tính tổng tiền đơn hàng khi có Áp dụng Giá theo mùa (gia_theo_mua)</t>
        </is>
      </c>
      <c r="H40" s="8" t="inlineStr">
        <is>
          <t>Món ăn có giá ngày lễ = 200.000đ (ngày thường 150.000đ)</t>
        </is>
      </c>
      <c r="I40" s="8" t="inlineStr">
        <is>
          <t>Ngày chọn: Ngày lễ 30/4, Số suất: 2</t>
        </is>
      </c>
      <c r="J40" s="8" t="inlineStr">
        <is>
          <t>1. Đặt chỗ đúng ngày lễ</t>
        </is>
      </c>
      <c r="K40" s="8" t="inlineStr">
        <is>
          <t>Tổng tiền = 200.000 x 2 = 400.000 VNĐ (lấy đúng đơn giá theo mùa từ gia_theo_mua)</t>
        </is>
      </c>
      <c r="L40" s="8" t="inlineStr">
        <is>
          <t>Tính đúng đơn giá ngày lễ 400.000đ</t>
        </is>
      </c>
      <c r="M40" s="6" t="inlineStr">
        <is>
          <t>Đạt</t>
        </is>
      </c>
      <c r="N40" s="7" t="inlineStr">
        <is>
          <t>Cao</t>
        </is>
      </c>
      <c r="O40" s="7" t="inlineStr">
        <is>
          <t>V5 - Kiểm thử</t>
        </is>
      </c>
    </row>
    <row r="41" ht="42" customHeight="1">
      <c r="A41" s="4" t="inlineStr">
        <is>
          <t>TC-PAY-001</t>
        </is>
      </c>
      <c r="B41" s="4" t="inlineStr">
        <is>
          <t>PAY</t>
        </is>
      </c>
      <c r="C41" s="5" t="inlineStr">
        <is>
          <t>POST /api/v1/payments/vnpay-sandbox</t>
        </is>
      </c>
      <c r="D41" s="5" t="inlineStr">
        <is>
          <t>thanh_toan</t>
        </is>
      </c>
      <c r="E41" s="5" t="inlineStr">
        <is>
          <t>Trang Thanh toán</t>
        </is>
      </c>
      <c r="F41" s="4" t="inlineStr">
        <is>
          <t>Luồng thuận</t>
        </is>
      </c>
      <c r="G41" s="5" t="inlineStr">
        <is>
          <t>Kiểm chứng khởi tạo giao dịch thanh toán VNPAY Sandbox thành công</t>
        </is>
      </c>
      <c r="H41" s="5" t="inlineStr">
        <is>
          <t>Đơn hàng đang ở trạng thái pending_payment</t>
        </is>
      </c>
      <c r="I41" s="5" t="inlineStr">
        <is>
          <t>Đơn hàng ID: 50, Số tiền: 300.000 VNĐ</t>
        </is>
      </c>
      <c r="J41" s="5" t="inlineStr">
        <is>
          <t>1. Chọn phương thức VNPAY Sandbox
2. Bấm 'Thanh toán'</t>
        </is>
      </c>
      <c r="K41" s="5" t="inlineStr">
        <is>
          <t>Hệ thống tạo URL thanh toán VNPAY hợp lệ, chuyển hướng sang cổng VNPAY Sandbox</t>
        </is>
      </c>
      <c r="L41" s="5" t="inlineStr">
        <is>
          <t>Chuyển hướng thành công sang cổng VNPAY Sandbox</t>
        </is>
      </c>
      <c r="M41" s="6" t="inlineStr">
        <is>
          <t>Đạt</t>
        </is>
      </c>
      <c r="N41" s="4" t="inlineStr">
        <is>
          <t>Rất cao</t>
        </is>
      </c>
      <c r="O41" s="4" t="inlineStr">
        <is>
          <t>V5 - Kiểm thử</t>
        </is>
      </c>
    </row>
    <row r="42" ht="42" customHeight="1">
      <c r="A42" s="7" t="inlineStr">
        <is>
          <t>TC-PAY-002</t>
        </is>
      </c>
      <c r="B42" s="7" t="inlineStr">
        <is>
          <t>PAY</t>
        </is>
      </c>
      <c r="C42" s="8" t="inlineStr">
        <is>
          <t>POST /api/v1/payments/webhook</t>
        </is>
      </c>
      <c r="D42" s="8" t="inlineStr">
        <is>
          <t>thanh_toan, don_dat</t>
        </is>
      </c>
      <c r="E42" s="8" t="inlineStr">
        <is>
          <t>Cổng VNPAY Sandbox</t>
        </is>
      </c>
      <c r="F42" s="7" t="inlineStr">
        <is>
          <t>Luồng thuận</t>
        </is>
      </c>
      <c r="G42" s="8" t="inlineStr">
        <is>
          <t>Kiểm chứng xử lý Webhook/IPN cập nhật trạng thái đơn thành 'paid' sau khi thanh toán thành công</t>
        </is>
      </c>
      <c r="H42" s="8" t="inlineStr">
        <is>
          <t>Giao dịch VNPAY thành công (vnp_ResponseCode=00)</t>
        </is>
      </c>
      <c r="I42" s="8" t="inlineStr">
        <is>
          <t>VNPAY gửi callback IPN tới /api/v1/payments/webhook</t>
        </is>
      </c>
      <c r="J42" s="8" t="inlineStr">
        <is>
          <t>1. Mô phỏng VNPAY callback thành công</t>
        </is>
      </c>
      <c r="K42" s="8" t="inlineStr">
        <is>
          <t>Hệ thống xác thực chữ ký chép (checksum), cập nhật don_dat.status='paid', thanh_toan.status='success'</t>
        </is>
      </c>
      <c r="L42" s="8" t="inlineStr">
        <is>
          <t>Đơn đổi trạng thái 'paid', lưu mã giao dịch VNPAY</t>
        </is>
      </c>
      <c r="M42" s="6" t="inlineStr">
        <is>
          <t>Đạt</t>
        </is>
      </c>
      <c r="N42" s="7" t="inlineStr">
        <is>
          <t>Rất cao</t>
        </is>
      </c>
      <c r="O42" s="7" t="inlineStr">
        <is>
          <t>V5 - Kiểm thử</t>
        </is>
      </c>
    </row>
    <row r="43" ht="42" customHeight="1">
      <c r="A43" s="4" t="inlineStr">
        <is>
          <t>TC-PAY-003</t>
        </is>
      </c>
      <c r="B43" s="4" t="inlineStr">
        <is>
          <t>PAY</t>
        </is>
      </c>
      <c r="C43" s="5" t="inlineStr">
        <is>
          <t>POST /api/v1/payments/webhook</t>
        </is>
      </c>
      <c r="D43" s="5" t="inlineStr">
        <is>
          <t>thanh_toan</t>
        </is>
      </c>
      <c r="E43" s="5" t="inlineStr">
        <is>
          <t>Cổng VNPAY Sandbox</t>
        </is>
      </c>
      <c r="F43" s="4" t="inlineStr">
        <is>
          <t>Luồng ngoại lệ</t>
        </is>
      </c>
      <c r="G43" s="5" t="inlineStr">
        <is>
          <t>Kiểm chứng xử lý giao dịch thanh toán bị hủy/thất bại (vnp_ResponseCode=24)</t>
        </is>
      </c>
      <c r="H43" s="5" t="inlineStr">
        <is>
          <t>Khách hủy thanh toán trên cổng VNPAY</t>
        </is>
      </c>
      <c r="I43" s="5" t="inlineStr">
        <is>
          <t>VNPAY callback vnp_ResponseCode=24</t>
        </is>
      </c>
      <c r="J43" s="5" t="inlineStr">
        <is>
          <t>1. Khách bấm 'Hủy giao dịch' trên VNPAY</t>
        </is>
      </c>
      <c r="K43" s="5" t="inlineStr">
        <is>
          <t>Cập nhật thanh_toan.status='failed', don_dat giữ nguyên pending_payment cho phép thanh toán lại</t>
        </is>
      </c>
      <c r="L43" s="5" t="inlineStr">
        <is>
          <t>Ghi nhận giao dịch thất bại chuẩn</t>
        </is>
      </c>
      <c r="M43" s="6" t="inlineStr">
        <is>
          <t>Đạt</t>
        </is>
      </c>
      <c r="N43" s="4" t="inlineStr">
        <is>
          <t>Cao</t>
        </is>
      </c>
      <c r="O43" s="4" t="inlineStr">
        <is>
          <t>V5 - Kiểm thử</t>
        </is>
      </c>
    </row>
    <row r="44" ht="42" customHeight="1">
      <c r="A44" s="7" t="inlineStr">
        <is>
          <t>TC-PAY-004</t>
        </is>
      </c>
      <c r="B44" s="7" t="inlineStr">
        <is>
          <t>PAY</t>
        </is>
      </c>
      <c r="C44" s="8" t="inlineStr">
        <is>
          <t>POST /api/v1/payments/webhook</t>
        </is>
      </c>
      <c r="D44" s="8" t="inlineStr">
        <is>
          <t>thanh_toan</t>
        </is>
      </c>
      <c r="E44" s="8" t="inlineStr">
        <is>
          <t>API Webhook</t>
        </is>
      </c>
      <c r="F44" s="7" t="inlineStr">
        <is>
          <t>Luồng ngoại lệ</t>
        </is>
      </c>
      <c r="G44" s="8" t="inlineStr">
        <is>
          <t>Kiểm chứng từ chối Callback Webhook có sai chữ ký Hash (vnp_SecureHash mạo danh)</t>
        </is>
      </c>
      <c r="H44" s="8" t="inlineStr">
        <is>
          <t>Request giả mạo từ bên thứ 3</t>
        </is>
      </c>
      <c r="I44" s="8" t="inlineStr">
        <is>
          <t>Sai chuỗi vnp_SecureHash</t>
        </is>
      </c>
      <c r="J44" s="8" t="inlineStr">
        <is>
          <t>1. Gửi request Webhook với chữ ký băm không hợp lệ</t>
        </is>
      </c>
      <c r="K44" s="8" t="inlineStr">
        <is>
          <t>Hệ thống phát hiện sai chữ ký, từ chối cập nhật trạng thái đơn, trả về response code 97 (Invalid Checksum)</t>
        </is>
      </c>
      <c r="L44" s="8" t="inlineStr">
        <is>
          <t>Từ chối callback mạo danh thành công</t>
        </is>
      </c>
      <c r="M44" s="6" t="inlineStr">
        <is>
          <t>Đạt</t>
        </is>
      </c>
      <c r="N44" s="7" t="inlineStr">
        <is>
          <t>Rất cao</t>
        </is>
      </c>
      <c r="O44" s="7" t="inlineStr">
        <is>
          <t>V5 - Kiểm thử</t>
        </is>
      </c>
    </row>
    <row r="45" ht="42" customHeight="1">
      <c r="A45" s="4" t="inlineStr">
        <is>
          <t>TC-PAY-005</t>
        </is>
      </c>
      <c r="B45" s="4" t="inlineStr">
        <is>
          <t>PAY</t>
        </is>
      </c>
      <c r="C45" s="5" t="inlineStr">
        <is>
          <t>POST /api/v1/payments/webhook</t>
        </is>
      </c>
      <c r="D45" s="5" t="inlineStr">
        <is>
          <t>thanh_toan</t>
        </is>
      </c>
      <c r="E45" s="5" t="inlineStr">
        <is>
          <t>API Webhook</t>
        </is>
      </c>
      <c r="F45" s="4" t="inlineStr">
        <is>
          <t>Luồng ngoại lệ</t>
        </is>
      </c>
      <c r="G45" s="5" t="inlineStr">
        <is>
          <t>Kiểm chứng chống lặp xử lý Webhook (Idempotency Key Check)</t>
        </is>
      </c>
      <c r="H45" s="5" t="inlineStr">
        <is>
          <t>VNPAY gửi lặp lại Webhook 2 lần cho 1 đơn</t>
        </is>
      </c>
      <c r="I45" s="5" t="inlineStr">
        <is>
          <t>Gửi lại callback giao dịch đã thành công trước đó</t>
        </is>
      </c>
      <c r="J45" s="5" t="inlineStr">
        <is>
          <t>1. Gửi Webhook lần 2 cho đơn đã 'paid'</t>
        </is>
      </c>
      <c r="K45" s="5" t="inlineStr">
        <is>
          <t>Hệ thống kiểm tra trạng thái đơn đã 'paid', trả về thành công nhưng không cộng trùng số tiền hay xử lý lại</t>
        </is>
      </c>
      <c r="L45" s="5" t="inlineStr">
        <is>
          <t>Đảm bảo tính Idempotency chuẩn</t>
        </is>
      </c>
      <c r="M45" s="6" t="inlineStr">
        <is>
          <t>Đạt</t>
        </is>
      </c>
      <c r="N45" s="4" t="inlineStr">
        <is>
          <t>Cao</t>
        </is>
      </c>
      <c r="O45" s="4" t="inlineStr">
        <is>
          <t>V5 - Kiểm thử</t>
        </is>
      </c>
    </row>
    <row r="46" ht="42" customHeight="1">
      <c r="A46" s="7" t="inlineStr">
        <is>
          <t>TC-PAY-006</t>
        </is>
      </c>
      <c r="B46" s="7" t="inlineStr">
        <is>
          <t>PAY</t>
        </is>
      </c>
      <c r="C46" s="8" t="inlineStr">
        <is>
          <t>POST /api/v1/payments/vnpay-sandbox</t>
        </is>
      </c>
      <c r="D46" s="8" t="inlineStr">
        <is>
          <t>thanh_toan</t>
        </is>
      </c>
      <c r="E46" s="8" t="inlineStr">
        <is>
          <t>Trang Thanh toán</t>
        </is>
      </c>
      <c r="F46" s="7" t="inlineStr">
        <is>
          <t>Giá trị biên</t>
        </is>
      </c>
      <c r="G46" s="8" t="inlineStr">
        <is>
          <t>Kiểm chứng thanh toán đơn hàng số tiền nhỏ nhất (10.000 VNĐ)</t>
        </is>
      </c>
      <c r="H46" s="8" t="inlineStr">
        <is>
          <t>Đơn hàng trải nghiệm 10.000đ</t>
        </is>
      </c>
      <c r="I46" s="8" t="inlineStr">
        <is>
          <t>Số tiền: 10.000 VNĐ</t>
        </is>
      </c>
      <c r="J46" s="8" t="inlineStr">
        <is>
          <t>1. Thanh toán đơn 10k</t>
        </is>
      </c>
      <c r="K46" s="8" t="inlineStr">
        <is>
          <t>VNPAY nhận số tiền 10.000đ hợp lệ</t>
        </is>
      </c>
      <c r="L46" s="8" t="inlineStr">
        <is>
          <t>Thanh toán 10k thành công</t>
        </is>
      </c>
      <c r="M46" s="6" t="inlineStr">
        <is>
          <t>Đạt</t>
        </is>
      </c>
      <c r="N46" s="7" t="inlineStr">
        <is>
          <t>Trung bình</t>
        </is>
      </c>
      <c r="O46" s="7" t="inlineStr">
        <is>
          <t>V5 - Kiểm thử</t>
        </is>
      </c>
    </row>
    <row r="47" ht="42" customHeight="1">
      <c r="A47" s="4" t="inlineStr">
        <is>
          <t>TC-ORDR-001</t>
        </is>
      </c>
      <c r="B47" s="4" t="inlineStr">
        <is>
          <t>ORDR</t>
        </is>
      </c>
      <c r="C47" s="5" t="inlineStr">
        <is>
          <t>GET /api/v1/orders/my-orders</t>
        </is>
      </c>
      <c r="D47" s="5" t="inlineStr">
        <is>
          <t>don_dat</t>
        </is>
      </c>
      <c r="E47" s="5" t="inlineStr">
        <is>
          <t>Trang Lịch sử đơn hàng</t>
        </is>
      </c>
      <c r="F47" s="4" t="inlineStr">
        <is>
          <t>Luồng thuận</t>
        </is>
      </c>
      <c r="G47" s="5" t="inlineStr">
        <is>
          <t>Kiểm chứng xem danh sách đơn hàng đã phân loại theo Tab trạng thái</t>
        </is>
      </c>
      <c r="H47" s="5" t="inlineStr">
        <is>
          <t>Đã đăng nhập Khách hàng</t>
        </is>
      </c>
      <c r="I47" s="5" t="inlineStr">
        <is>
          <t>Khách hàng có 3 đơn (Chờ thanh toán, Đã thanh toán, Đã hủy)</t>
        </is>
      </c>
      <c r="J47" s="5" t="inlineStr">
        <is>
          <t>1. Mở trang /profile/orders
2. Chuyển giữa các tab trạng thái</t>
        </is>
      </c>
      <c r="K47" s="5" t="inlineStr">
        <is>
          <t>Hiển thị danh sách đơn tương ứng với từng Tab chính xác</t>
        </is>
      </c>
      <c r="L47" s="5" t="inlineStr">
        <is>
          <t>Phân loại đơn theo tab chuẩn</t>
        </is>
      </c>
      <c r="M47" s="6" t="inlineStr">
        <is>
          <t>Đạt</t>
        </is>
      </c>
      <c r="N47" s="4" t="inlineStr">
        <is>
          <t>Cao</t>
        </is>
      </c>
      <c r="O47" s="4" t="inlineStr">
        <is>
          <t>V5 - Kiểm thử</t>
        </is>
      </c>
    </row>
    <row r="48" ht="42" customHeight="1">
      <c r="A48" s="7" t="inlineStr">
        <is>
          <t>TC-ORDR-002</t>
        </is>
      </c>
      <c r="B48" s="7" t="inlineStr">
        <is>
          <t>ORDR</t>
        </is>
      </c>
      <c r="C48" s="8" t="inlineStr">
        <is>
          <t>POST /api/v1/orders/10/cancel</t>
        </is>
      </c>
      <c r="D48" s="8" t="inlineStr">
        <is>
          <t>don_dat, lich_kha_dung</t>
        </is>
      </c>
      <c r="E48" s="8" t="inlineStr">
        <is>
          <t>Trang Chi tiết đơn</t>
        </is>
      </c>
      <c r="F48" s="7" t="inlineStr">
        <is>
          <t>Luồng thuận</t>
        </is>
      </c>
      <c r="G48" s="8" t="inlineStr">
        <is>
          <t>Kiểm chứng Khách hàng tự hủy đơn hàng chưa thanh toán thành công</t>
        </is>
      </c>
      <c r="H48" s="8" t="inlineStr">
        <is>
          <t>Đơn hàng ID 10 có status='pending_payment'</t>
        </is>
      </c>
      <c r="I48" s="8" t="inlineStr">
        <is>
          <t>Lý do hủy: 'Thay đổi kế hoạch'</t>
        </is>
      </c>
      <c r="J48" s="8" t="inlineStr">
        <is>
          <t>1. Bấm 'Hủy đơn hàng'
2. Chọn lý do và xác nhận</t>
        </is>
      </c>
      <c r="K48" s="8" t="inlineStr">
        <is>
          <t>Đơn hàng đổi trạng thái thành 'cancelled', nhả lại slot khả dụng cho hệ thống</t>
        </is>
      </c>
      <c r="L48" s="8" t="inlineStr">
        <is>
          <t>Hủy đơn thành công, slot được hoàn trả</t>
        </is>
      </c>
      <c r="M48" s="6" t="inlineStr">
        <is>
          <t>Đạt</t>
        </is>
      </c>
      <c r="N48" s="7" t="inlineStr">
        <is>
          <t>Cao</t>
        </is>
      </c>
      <c r="O48" s="7" t="inlineStr">
        <is>
          <t>V5 - Kiểm thử</t>
        </is>
      </c>
    </row>
    <row r="49" ht="42" customHeight="1">
      <c r="A49" s="4" t="inlineStr">
        <is>
          <t>TC-ORDR-003</t>
        </is>
      </c>
      <c r="B49" s="4" t="inlineStr">
        <is>
          <t>ORDR</t>
        </is>
      </c>
      <c r="C49" s="5" t="inlineStr">
        <is>
          <t>POST /api/v1/orders/15/cancel</t>
        </is>
      </c>
      <c r="D49" s="5" t="inlineStr">
        <is>
          <t>don_dat</t>
        </is>
      </c>
      <c r="E49" s="5" t="inlineStr">
        <is>
          <t>Trang Chi tiết đơn</t>
        </is>
      </c>
      <c r="F49" s="4" t="inlineStr">
        <is>
          <t>Luồng ngoại lệ</t>
        </is>
      </c>
      <c r="G49" s="5" t="inlineStr">
        <is>
          <t>Kiểm chứng không thể hủy đơn hàng đã hoàn tất sử dụng dịch vụ</t>
        </is>
      </c>
      <c r="H49" s="5" t="inlineStr">
        <is>
          <t>Đơn hàng ID 15 có status='completed'</t>
        </is>
      </c>
      <c r="I49" s="5" t="inlineStr">
        <is>
          <t>Hành động: Bấm Hủy đơn</t>
        </is>
      </c>
      <c r="J49" s="5" t="inlineStr">
        <is>
          <t>1. Thử gửi request hủy đơn completed</t>
        </is>
      </c>
      <c r="K49" s="5" t="inlineStr">
        <is>
          <t>Hệ thống từ chối hủy, hiển thị lỗi 'Đơn hàng đã hoàn thành, không thể hủy'</t>
        </is>
      </c>
      <c r="L49" s="5" t="inlineStr">
        <is>
          <t>Từ chối hủy thành công</t>
        </is>
      </c>
      <c r="M49" s="6" t="inlineStr">
        <is>
          <t>Đạt</t>
        </is>
      </c>
      <c r="N49" s="4" t="inlineStr">
        <is>
          <t>Trung bình</t>
        </is>
      </c>
      <c r="O49" s="4" t="inlineStr">
        <is>
          <t>V5 - Kiểm thử</t>
        </is>
      </c>
    </row>
    <row r="50" ht="42" customHeight="1">
      <c r="A50" s="7" t="inlineStr">
        <is>
          <t>TC-ORDR-004</t>
        </is>
      </c>
      <c r="B50" s="7" t="inlineStr">
        <is>
          <t>ORDR</t>
        </is>
      </c>
      <c r="C50" s="8" t="inlineStr">
        <is>
          <t>POST /api/v1/orders/20/refund</t>
        </is>
      </c>
      <c r="D50" s="8" t="inlineStr">
        <is>
          <t>thanh_toan</t>
        </is>
      </c>
      <c r="E50" s="8" t="inlineStr">
        <is>
          <t>Trang Chi tiết đơn</t>
        </is>
      </c>
      <c r="F50" s="7" t="inlineStr">
        <is>
          <t>Luồng ngoại lệ</t>
        </is>
      </c>
      <c r="G50" s="8" t="inlineStr">
        <is>
          <t>Kiểm chứng yêu cầu hoàn tiền chỉ áp dụng cho đơn hủy đúng quy định trước 24h</t>
        </is>
      </c>
      <c r="H50" s="8" t="inlineStr">
        <is>
          <t>Đơn hàng 'paid' trước giờ trải nghiệm 12h</t>
        </is>
      </c>
      <c r="I50" s="8" t="inlineStr">
        <is>
          <t>Yêu cầu hoàn tiền đơn sát giờ</t>
        </is>
      </c>
      <c r="J50" s="8" t="inlineStr">
        <is>
          <t>1. Bấm yêu cầu hoàn tiền</t>
        </is>
      </c>
      <c r="K50" s="8" t="inlineStr">
        <is>
          <t>Từ chối hoàn tiền tự động theo chính sách (dưới 24h không hoàn tiền), chuyển trạng thái sang Chờ CSKH hỗ trợ</t>
        </is>
      </c>
      <c r="L50" s="8" t="inlineStr">
        <is>
          <t>Áp dụng chính sách hoàn tiền chuẩn</t>
        </is>
      </c>
      <c r="M50" s="6" t="inlineStr">
        <is>
          <t>Đạt</t>
        </is>
      </c>
      <c r="N50" s="7" t="inlineStr">
        <is>
          <t>Cao</t>
        </is>
      </c>
      <c r="O50" s="7" t="inlineStr">
        <is>
          <t>V5 - Kiểm thử</t>
        </is>
      </c>
    </row>
    <row r="51" ht="42" customHeight="1">
      <c r="A51" s="4" t="inlineStr">
        <is>
          <t>TC-ORDR-005</t>
        </is>
      </c>
      <c r="B51" s="4" t="inlineStr">
        <is>
          <t>ORDR</t>
        </is>
      </c>
      <c r="C51" s="5" t="inlineStr">
        <is>
          <t>POST /api/v1/orders/999/cancel</t>
        </is>
      </c>
      <c r="D51" s="5" t="inlineStr">
        <is>
          <t>don_dat</t>
        </is>
      </c>
      <c r="E51" s="5" t="inlineStr">
        <is>
          <t>Trang Chi tiết đơn</t>
        </is>
      </c>
      <c r="F51" s="4" t="inlineStr">
        <is>
          <t>Luồng ngoại lệ</t>
        </is>
      </c>
      <c r="G51" s="5" t="inlineStr">
        <is>
          <t>Kiểm chứng xử lý khi hủy mã đơn hàng không tồn tại (ID=999)</t>
        </is>
      </c>
      <c r="H51" s="5" t="inlineStr">
        <is>
          <t>Đang ở trang đơn hàng</t>
        </is>
      </c>
      <c r="I51" s="5" t="inlineStr">
        <is>
          <t>Mã đơn 999 không có trong CSDL</t>
        </is>
      </c>
      <c r="J51" s="5" t="inlineStr">
        <is>
          <t>1. Gửi request cancel đơn 999</t>
        </is>
      </c>
      <c r="K51" s="5" t="inlineStr">
        <is>
          <t>Trả về lỗi HTTP Status 404 Not Found 'Không tìm thấy đơn hàng'</t>
        </is>
      </c>
      <c r="L51" s="5" t="inlineStr">
        <is>
          <t>Trả về 404 chuẩn</t>
        </is>
      </c>
      <c r="M51" s="6" t="inlineStr">
        <is>
          <t>Đạt</t>
        </is>
      </c>
      <c r="N51" s="4" t="inlineStr">
        <is>
          <t>Thấp</t>
        </is>
      </c>
      <c r="O51" s="4" t="inlineStr">
        <is>
          <t>V5 - Kiểm thử</t>
        </is>
      </c>
    </row>
    <row r="52" ht="42" customHeight="1">
      <c r="A52" s="7" t="inlineStr">
        <is>
          <t>TC-ORDR-006</t>
        </is>
      </c>
      <c r="B52" s="7" t="inlineStr">
        <is>
          <t>ORDR</t>
        </is>
      </c>
      <c r="C52" s="8" t="inlineStr">
        <is>
          <t>POST /api/v1/orders/10/cancel</t>
        </is>
      </c>
      <c r="D52" s="8" t="inlineStr">
        <is>
          <t>don_dat</t>
        </is>
      </c>
      <c r="E52" s="8" t="inlineStr">
        <is>
          <t>Trang Chi tiết đơn</t>
        </is>
      </c>
      <c r="F52" s="7" t="inlineStr">
        <is>
          <t>Giá trị biên</t>
        </is>
      </c>
      <c r="G52" s="8" t="inlineStr">
        <is>
          <t>Kiểm chứng độ dài chuỗi nhập Lý do hủy đơn (tối đa 255 ký tự)</t>
        </is>
      </c>
      <c r="H52" s="8" t="inlineStr">
        <is>
          <t>Đang ở modal hủy đơn</t>
        </is>
      </c>
      <c r="I52" s="8" t="inlineStr">
        <is>
          <t>Lý do hủy dài đúng 255 ký tự</t>
        </is>
      </c>
      <c r="J52" s="8" t="inlineStr">
        <is>
          <t>1. Nhập lý do 255 ký tự
2. Bấm xác nhận</t>
        </is>
      </c>
      <c r="K52" s="8" t="inlineStr">
        <is>
          <t>Lưu lý do hủy nguyên vẹn trong don_dat.cancel_reason</t>
        </is>
      </c>
      <c r="L52" s="8" t="inlineStr">
        <is>
          <t>Lưu đủ 255 ký tự</t>
        </is>
      </c>
      <c r="M52" s="6" t="inlineStr">
        <is>
          <t>Đạt</t>
        </is>
      </c>
      <c r="N52" s="7" t="inlineStr">
        <is>
          <t>Thấp</t>
        </is>
      </c>
      <c r="O52" s="7" t="inlineStr">
        <is>
          <t>V5 - Kiểm thử</t>
        </is>
      </c>
    </row>
    <row r="53" ht="42" customHeight="1">
      <c r="A53" s="4" t="inlineStr">
        <is>
          <t>TC-ADMN-001</t>
        </is>
      </c>
      <c r="B53" s="4" t="inlineStr">
        <is>
          <t>ADMN</t>
        </is>
      </c>
      <c r="C53" s="5" t="inlineStr">
        <is>
          <t>GET /api/v1/admin/dashboard/stats</t>
        </is>
      </c>
      <c r="D53" s="5" t="inlineStr">
        <is>
          <t>don_dat, nguoi_dung, san_pham</t>
        </is>
      </c>
      <c r="E53" s="5" t="inlineStr">
        <is>
          <t>Trang Admin Dashboard</t>
        </is>
      </c>
      <c r="F53" s="4" t="inlineStr">
        <is>
          <t>Luồng thuận</t>
        </is>
      </c>
      <c r="G53" s="5" t="inlineStr">
        <is>
          <t>Kiểm chứng hiển thị các chỉ số thống kê Tổng quan (Tổng doanh thu, Tổng đơn, Tổng người dùng)</t>
        </is>
      </c>
      <c r="H53" s="5" t="inlineStr">
        <is>
          <t>Đã đăng nhập Admin</t>
        </is>
      </c>
      <c r="I53" s="5" t="inlineStr">
        <is>
          <t>Dữ liệu hệ thống có 381 món ăn, 4000+ bản ghi</t>
        </is>
      </c>
      <c r="J53" s="5" t="inlineStr">
        <is>
          <t>1. Mở /admin/dashboard
2. Quan sát các card chỉ số</t>
        </is>
      </c>
      <c r="K53" s="5" t="inlineStr">
        <is>
          <t>Hiển thị chính xác tổng số liệu tính toán từ CSDL</t>
        </is>
      </c>
      <c r="L53" s="5" t="inlineStr">
        <is>
          <t>Số liệu khớp 100% kết quả truy vấn SQL count/sum</t>
        </is>
      </c>
      <c r="M53" s="6" t="inlineStr">
        <is>
          <t>Đạt</t>
        </is>
      </c>
      <c r="N53" s="4" t="inlineStr">
        <is>
          <t>Cao</t>
        </is>
      </c>
      <c r="O53" s="4" t="inlineStr">
        <is>
          <t>V5 - Kiểm thử</t>
        </is>
      </c>
    </row>
    <row r="54" ht="42" customHeight="1">
      <c r="A54" s="7" t="inlineStr">
        <is>
          <t>TC-ADMN-002</t>
        </is>
      </c>
      <c r="B54" s="7" t="inlineStr">
        <is>
          <t>ADMN</t>
        </is>
      </c>
      <c r="C54" s="8" t="inlineStr">
        <is>
          <t>POST /api/v1/admin/dishes</t>
        </is>
      </c>
      <c r="D54" s="8" t="inlineStr">
        <is>
          <t>san_pham</t>
        </is>
      </c>
      <c r="E54" s="8" t="inlineStr">
        <is>
          <t>Trang Quản lý món ăn Admin</t>
        </is>
      </c>
      <c r="F54" s="7" t="inlineStr">
        <is>
          <t>Luồng thuận</t>
        </is>
      </c>
      <c r="G54" s="8" t="inlineStr">
        <is>
          <t>Kiểm chứng Admin thêm mới món ăn ẩm thực vùng miền</t>
        </is>
      </c>
      <c r="H54" s="8" t="inlineStr">
        <is>
          <t>Đã đăng nhập Admin</t>
        </is>
      </c>
      <c r="I54" s="8" t="inlineStr">
        <is>
          <t>Tên món: 'Bún Rạm Quy Nhơn', Vùng: Miền Trung, Giá: 45.000đ</t>
        </is>
      </c>
      <c r="J54" s="8" t="inlineStr">
        <is>
          <t>1. Nhập đầy đủ thông tin form
2. Bấm 'Thêm mới'</t>
        </is>
      </c>
      <c r="K54" s="8" t="inlineStr">
        <is>
          <t>Tạo bản ghi món ăn mới trong san_pham, hiển thị trong danh sách quản trị</t>
        </is>
      </c>
      <c r="L54" s="8" t="inlineStr">
        <is>
          <t>Thêm món mới thành công</t>
        </is>
      </c>
      <c r="M54" s="6" t="inlineStr">
        <is>
          <t>Đạt</t>
        </is>
      </c>
      <c r="N54" s="7" t="inlineStr">
        <is>
          <t>Cao</t>
        </is>
      </c>
      <c r="O54" s="7" t="inlineStr">
        <is>
          <t>V5 - Kiểm thử</t>
        </is>
      </c>
    </row>
    <row r="55" ht="42" customHeight="1">
      <c r="A55" s="4" t="inlineStr">
        <is>
          <t>TC-ADMN-003</t>
        </is>
      </c>
      <c r="B55" s="4" t="inlineStr">
        <is>
          <t>ADMN</t>
        </is>
      </c>
      <c r="C55" s="5" t="inlineStr">
        <is>
          <t>GET /api/v1/admin/export-excel</t>
        </is>
      </c>
      <c r="D55" s="5" t="inlineStr">
        <is>
          <t>don_dat</t>
        </is>
      </c>
      <c r="E55" s="5" t="inlineStr">
        <is>
          <t>Trang Báo cáo Admin</t>
        </is>
      </c>
      <c r="F55" s="4" t="inlineStr">
        <is>
          <t>Luồng thuận</t>
        </is>
      </c>
      <c r="G55" s="5" t="inlineStr">
        <is>
          <t>Kiểm chứng kết xuất Báo cáo danh sách đơn hàng ra file Excel (.xlsx)</t>
        </is>
      </c>
      <c r="H55" s="5" t="inlineStr">
        <is>
          <t>Đã đăng nhập Admin</t>
        </is>
      </c>
      <c r="I55" s="5" t="inlineStr">
        <is>
          <t>Khoảng thời gian: Tuần hiện tại</t>
        </is>
      </c>
      <c r="J55" s="5" t="inlineStr">
        <is>
          <t>1. Bấm nút 'Xuất Excel Báo cáo'</t>
        </is>
      </c>
      <c r="K55" s="5" t="inlineStr">
        <is>
          <t>Trình duyệt tải về tệp Excel `.xlsx` chứa danh sách đơn hàng đầy đủ cột thông tin</t>
        </is>
      </c>
      <c r="L55" s="5" t="inlineStr">
        <is>
          <t>Tải file Excel thành công, định dạng chuẩn</t>
        </is>
      </c>
      <c r="M55" s="6" t="inlineStr">
        <is>
          <t>Đạt</t>
        </is>
      </c>
      <c r="N55" s="4" t="inlineStr">
        <is>
          <t>Trung bình</t>
        </is>
      </c>
      <c r="O55" s="4" t="inlineStr">
        <is>
          <t>V5 - Kiểm thử</t>
        </is>
      </c>
    </row>
    <row r="56" ht="42" customHeight="1">
      <c r="A56" s="7" t="inlineStr">
        <is>
          <t>TC-ADMN-004</t>
        </is>
      </c>
      <c r="B56" s="7" t="inlineStr">
        <is>
          <t>ADMN</t>
        </is>
      </c>
      <c r="C56" s="8" t="inlineStr">
        <is>
          <t>PUT /api/v1/admin/dishes/10</t>
        </is>
      </c>
      <c r="D56" s="8" t="inlineStr">
        <is>
          <t>san_pham</t>
        </is>
      </c>
      <c r="E56" s="8" t="inlineStr">
        <is>
          <t>Trang Quản lý món ăn Admin</t>
        </is>
      </c>
      <c r="F56" s="7" t="inlineStr">
        <is>
          <t>Luồng ngoại lệ</t>
        </is>
      </c>
      <c r="G56" s="8" t="inlineStr">
        <is>
          <t>Kiểm chứng từ chối cập nhật món ăn với giá âm (-50.000đ)</t>
        </is>
      </c>
      <c r="H56" s="8" t="inlineStr">
        <is>
          <t>Đã đăng nhập Admin</t>
        </is>
      </c>
      <c r="I56" s="8" t="inlineStr">
        <is>
          <t>Giá sửa: -50000</t>
        </is>
      </c>
      <c r="J56" s="8" t="inlineStr">
        <is>
          <t>1. Sửa giá món ăn thành -50000
2. Bấm Lưu</t>
        </is>
      </c>
      <c r="K56" s="8" t="inlineStr">
        <is>
          <t>Báo lỗi validation 'Giá tham khảo phải là số dương'</t>
        </is>
      </c>
      <c r="L56" s="8" t="inlineStr">
        <is>
          <t>Từ chối cập nhật thành công</t>
        </is>
      </c>
      <c r="M56" s="6" t="inlineStr">
        <is>
          <t>Đạt</t>
        </is>
      </c>
      <c r="N56" s="7" t="inlineStr">
        <is>
          <t>Trung bình</t>
        </is>
      </c>
      <c r="O56" s="7" t="inlineStr">
        <is>
          <t>V5 - Kiểm thử</t>
        </is>
      </c>
    </row>
    <row r="57" ht="42" customHeight="1">
      <c r="A57" s="4" t="inlineStr">
        <is>
          <t>TC-ADMN-005</t>
        </is>
      </c>
      <c r="B57" s="4" t="inlineStr">
        <is>
          <t>ADMN</t>
        </is>
      </c>
      <c r="C57" s="5" t="inlineStr">
        <is>
          <t>DELETE /api/v1/admin/dishes/5</t>
        </is>
      </c>
      <c r="D57" s="5" t="inlineStr">
        <is>
          <t>san_pham, don_dat</t>
        </is>
      </c>
      <c r="E57" s="5" t="inlineStr">
        <is>
          <t>Trang Quản lý món ăn Admin</t>
        </is>
      </c>
      <c r="F57" s="4" t="inlineStr">
        <is>
          <t>Luồng ngoại lệ</t>
        </is>
      </c>
      <c r="G57" s="5" t="inlineStr">
        <is>
          <t>Kiểm chứng không thể xóa cứng món ăn đã có đơn hàng liên kết (Ràng buộc Khóa ngoại FK)</t>
        </is>
      </c>
      <c r="H57" s="5" t="inlineStr">
        <is>
          <t>Món ăn ID 5 đã có đơn đặt trong chi_tiet_don</t>
        </is>
      </c>
      <c r="I57" s="5" t="inlineStr">
        <is>
          <t>Hành động: Bấm Xóa món ăn ID 5</t>
        </is>
      </c>
      <c r="J57" s="5" t="inlineStr">
        <is>
          <t>1. Bấm Xóa món ăn ID 5</t>
        </is>
      </c>
      <c r="K57" s="5" t="inlineStr">
        <is>
          <t>Hệ thống từ chối xóa cứng để bảo vệ lịch sử đơn hàng, chuyển sang Xóa mềm (is_deleted=1 hoặc active=0)</t>
        </is>
      </c>
      <c r="L57" s="5" t="inlineStr">
        <is>
          <t>Xóa mềm an toàn, không bị vỡ CSDL</t>
        </is>
      </c>
      <c r="M57" s="6" t="inlineStr">
        <is>
          <t>Đạt</t>
        </is>
      </c>
      <c r="N57" s="4" t="inlineStr">
        <is>
          <t>Rất cao</t>
        </is>
      </c>
      <c r="O57" s="4" t="inlineStr">
        <is>
          <t>V5 - Kiểm thử</t>
        </is>
      </c>
    </row>
    <row r="58" ht="42" customHeight="1">
      <c r="A58" s="7" t="inlineStr">
        <is>
          <t>TC-ADMN-006</t>
        </is>
      </c>
      <c r="B58" s="7" t="inlineStr">
        <is>
          <t>ADMN</t>
        </is>
      </c>
      <c r="C58" s="8" t="inlineStr">
        <is>
          <t>POST /api/v1/admin/dishes/bulk-import</t>
        </is>
      </c>
      <c r="D58" s="8" t="inlineStr">
        <is>
          <t>san_pham</t>
        </is>
      </c>
      <c r="E58" s="8" t="inlineStr">
        <is>
          <t>Trang Quản lý món ăn Admin</t>
        </is>
      </c>
      <c r="F58" s="7" t="inlineStr">
        <is>
          <t>Giá trị biên</t>
        </is>
      </c>
      <c r="G58" s="8" t="inlineStr">
        <is>
          <t>Kiểm chứng nhập hàng loạt 100 món ăn từ file CSV</t>
        </is>
      </c>
      <c r="H58" s="8" t="inlineStr">
        <is>
          <t>File CSV chứa 100 dòng dữ liệu hợp lệ</t>
        </is>
      </c>
      <c r="I58" s="8" t="inlineStr">
        <is>
          <t>Tệp: mon_an_import_100.csv</t>
        </is>
      </c>
      <c r="J58" s="8" t="inlineStr">
        <is>
          <t>1. Tải file CSV lên
2. Bấm Nhập dữ liệu</t>
        </is>
      </c>
      <c r="K58" s="8" t="inlineStr">
        <is>
          <t>Nhập thành công đủ 100 món vào CSDL trong 1 Transaction</t>
        </is>
      </c>
      <c r="L58" s="8" t="inlineStr">
        <is>
          <t>Thêm đủ 100 món ăn</t>
        </is>
      </c>
      <c r="M58" s="6" t="inlineStr">
        <is>
          <t>Đạt</t>
        </is>
      </c>
      <c r="N58" s="7" t="inlineStr">
        <is>
          <t>Trung bình</t>
        </is>
      </c>
      <c r="O58" s="7" t="inlineStr">
        <is>
          <t>V5 - Kiểm thử</t>
        </is>
      </c>
    </row>
    <row r="59" ht="42" customHeight="1">
      <c r="A59" s="4" t="inlineStr">
        <is>
          <t>TC-PYMD-001</t>
        </is>
      </c>
      <c r="B59" s="4" t="inlineStr">
        <is>
          <t>PYMD</t>
        </is>
      </c>
      <c r="C59" s="5" t="inlineStr">
        <is>
          <t>GET /api/v1/recommendations/culinary-map</t>
        </is>
      </c>
      <c r="D59" s="5" t="inlineStr">
        <is>
          <t>san_pham, diem_den, danh_gia</t>
        </is>
      </c>
      <c r="E59" s="5" t="inlineStr">
        <is>
          <t>Trang Bản đồ số du lịch /map</t>
        </is>
      </c>
      <c r="F59" s="4" t="inlineStr">
        <is>
          <t>Luồng thuận</t>
        </is>
      </c>
      <c r="G59" s="5" t="inlineStr">
        <is>
          <t>Kiểm chứng Mô-đun Python tính toán &amp; gợi ý lộ trình tour ẩm thực theo vùng miền</t>
        </is>
      </c>
      <c r="H59" s="5" t="inlineStr">
        <is>
          <t>Dữ liệu vị trí tọa độ điểm đến ẩm thực sẵn có</t>
        </is>
      </c>
      <c r="I59" s="5" t="inlineStr">
        <is>
          <t>Tọa độ khách hàng: Lat 21.0285, Lng 105.8542 (Hà Nội), Sở thích: Phở &amp; Bún</t>
        </is>
      </c>
      <c r="J59" s="5" t="inlineStr">
        <is>
          <t>1. Mở trang /map
2. Cho phép truy cập vị trí</t>
        </is>
      </c>
      <c r="K59" s="5" t="inlineStr">
        <is>
          <t>Mô-đun Python chạy thuật toán gợi ý Top 5 món ăn &amp; địa điểm ẩm thực gần nhất kèm lộ trình di chuyển</t>
        </is>
      </c>
      <c r="L59" s="5" t="inlineStr">
        <is>
          <t>Trả về gợi ý Top 5 phù hợp tọa độ vị trí</t>
        </is>
      </c>
      <c r="M59" s="6" t="inlineStr">
        <is>
          <t>Đạt</t>
        </is>
      </c>
      <c r="N59" s="4" t="inlineStr">
        <is>
          <t>Cao</t>
        </is>
      </c>
      <c r="O59" s="4" t="inlineStr">
        <is>
          <t>V5 - Kiểm thử</t>
        </is>
      </c>
    </row>
    <row r="60" ht="42" customHeight="1">
      <c r="A60" s="7" t="inlineStr">
        <is>
          <t>TC-PYMD-002</t>
        </is>
      </c>
      <c r="B60" s="7" t="inlineStr">
        <is>
          <t>PYMD</t>
        </is>
      </c>
      <c r="C60" s="8" t="inlineStr">
        <is>
          <t>GET /api/v1/recommendations/culinary-map</t>
        </is>
      </c>
      <c r="D60" s="8" t="inlineStr">
        <is>
          <t>san_pham</t>
        </is>
      </c>
      <c r="E60" s="8" t="inlineStr">
        <is>
          <t>Trang Bản đồ số du lịch /map</t>
        </is>
      </c>
      <c r="F60" s="7" t="inlineStr">
        <is>
          <t>Luồng ngoại lệ</t>
        </is>
      </c>
      <c r="G60" s="8" t="inlineStr">
        <is>
          <t>Kiểm chứng xử lý Graceful Degradation khi Mô-đun Python gợi ý bị Timeout/Lỗi</t>
        </is>
      </c>
      <c r="H60" s="8" t="inlineStr">
        <is>
          <t>Mô-đun Python phản hồi chậm &gt; 3s</t>
        </is>
      </c>
      <c r="I60" s="8" t="inlineStr">
        <is>
          <t>Tọa độ vị trí khách hàng</t>
        </is>
      </c>
      <c r="J60" s="8" t="inlineStr">
        <is>
          <t>1. Giả lập mô-đun Python bị sập/timeout</t>
        </is>
      </c>
      <c r="K60" s="8" t="inlineStr">
        <is>
          <t>Hệ thống tự động chuyển sang giải pháp dự phòng (Fallback): Hiển thị danh sách món ăn phổ biến nhất theo lượt xem</t>
        </is>
      </c>
      <c r="L60" s="8" t="inlineStr">
        <is>
          <t>Fallback thành công, trang web không bị crash 500</t>
        </is>
      </c>
      <c r="M60" s="6" t="inlineStr">
        <is>
          <t>Đạt</t>
        </is>
      </c>
      <c r="N60" s="7" t="inlineStr">
        <is>
          <t>Rất cao</t>
        </is>
      </c>
      <c r="O60" s="7" t="inlineStr">
        <is>
          <t>V5 - Kiểm thử</t>
        </is>
      </c>
    </row>
    <row r="61" ht="42" customHeight="1">
      <c r="A61" s="4" t="inlineStr">
        <is>
          <t>TC-PYMD-003</t>
        </is>
      </c>
      <c r="B61" s="4" t="inlineStr">
        <is>
          <t>PYMD</t>
        </is>
      </c>
      <c r="C61" s="5" t="inlineStr">
        <is>
          <t>POST /api/v1/analytics/process-ratings</t>
        </is>
      </c>
      <c r="D61" s="5" t="inlineStr">
        <is>
          <t>danh_gia</t>
        </is>
      </c>
      <c r="E61" s="5" t="inlineStr">
        <is>
          <t>Trang Admin Thống kê</t>
        </is>
      </c>
      <c r="F61" s="4" t="inlineStr">
        <is>
          <t>Luồng ngoại lệ</t>
        </is>
      </c>
      <c r="G61" s="5" t="inlineStr">
        <is>
          <t>Kiểm chứng Mô-đun Python xử lý làm sạch dữ liệu đánh giá rác (Spam Reviews)</t>
        </is>
      </c>
      <c r="H61" s="5" t="inlineStr">
        <is>
          <t>Tệp dữ liệu 1000 đánh giá có chứa câu từ spam/chửi thề</t>
        </is>
      </c>
      <c r="I61" s="5" t="inlineStr">
        <is>
          <t>Dữ liệu đánh giá thô</t>
        </is>
      </c>
      <c r="J61" s="5" t="inlineStr">
        <is>
          <t>1. Chạy script Python sentiment_analysis.py</t>
        </is>
      </c>
      <c r="K61" s="5" t="inlineStr">
        <is>
          <t>Lọc bỏ 100% đánh giá spam, tính toán điểm trung bình rating chính xác</t>
        </is>
      </c>
      <c r="L61" s="5" t="inlineStr">
        <is>
          <t>Lọc rác và tính rating khớp chuẩn</t>
        </is>
      </c>
      <c r="M61" s="6" t="inlineStr">
        <is>
          <t>Đạt</t>
        </is>
      </c>
      <c r="N61" s="4" t="inlineStr">
        <is>
          <t>Trung bình</t>
        </is>
      </c>
      <c r="O61" s="4" t="inlineStr">
        <is>
          <t>V5 - Kiểm thử</t>
        </is>
      </c>
    </row>
    <row r="62" ht="42" customHeight="1">
      <c r="A62" s="7" t="inlineStr">
        <is>
          <t>TC-VALD-001</t>
        </is>
      </c>
      <c r="B62" s="7" t="inlineStr">
        <is>
          <t>VALD</t>
        </is>
      </c>
      <c r="C62" s="8" t="inlineStr">
        <is>
          <t>ALL POST/PUT Endpoints</t>
        </is>
      </c>
      <c r="D62" s="8" t="inlineStr">
        <is>
          <t>Tất cả bảng CSDL</t>
        </is>
      </c>
      <c r="E62" s="8" t="inlineStr">
        <is>
          <t>Tất cả các Form nhập liệu</t>
        </is>
      </c>
      <c r="F62" s="7" t="inlineStr">
        <is>
          <t>Luồng ngoại lệ</t>
        </is>
      </c>
      <c r="G62" s="8" t="inlineStr">
        <is>
          <t>Kiểm chứng chặn các ký tự độc hại SQL Injection trên tất cả ô input text</t>
        </is>
      </c>
      <c r="H62" s="8" t="inlineStr">
        <is>
          <t>Đang ở các Form nhập liệu</t>
        </is>
      </c>
      <c r="I62" s="8" t="inlineStr">
        <is>
          <t>Chuỗi input: ' OR '1'='1</t>
        </is>
      </c>
      <c r="J62" s="8" t="inlineStr">
        <is>
          <t>1. Nhập chuỗi SQL injection vào ô tìm kiếm, username, comment
2. Bấm Submit</t>
        </is>
      </c>
      <c r="K62" s="8" t="inlineStr">
        <is>
          <t>Hệ thống sử dụng Prepared Statement / ORM Query Builder, vô hiệu hóa hoàn toàn SQLi</t>
        </is>
      </c>
      <c r="L62" s="8" t="inlineStr">
        <is>
          <t>Chặn SQL Injection thành công 100%</t>
        </is>
      </c>
      <c r="M62" s="6" t="inlineStr">
        <is>
          <t>Đạt</t>
        </is>
      </c>
      <c r="N62" s="7" t="inlineStr">
        <is>
          <t>Rất cao</t>
        </is>
      </c>
      <c r="O62" s="7" t="inlineStr">
        <is>
          <t>V5 - Kiểm thử</t>
        </is>
      </c>
    </row>
    <row r="63" ht="42" customHeight="1">
      <c r="A63" s="4" t="inlineStr">
        <is>
          <t>TC-VALD-002</t>
        </is>
      </c>
      <c r="B63" s="4" t="inlineStr">
        <is>
          <t>VALD</t>
        </is>
      </c>
      <c r="C63" s="5" t="inlineStr">
        <is>
          <t>ALL POST Endpoints</t>
        </is>
      </c>
      <c r="D63" s="5" t="inlineStr">
        <is>
          <t>Tất cả bảng CSDL</t>
        </is>
      </c>
      <c r="E63" s="5" t="inlineStr">
        <is>
          <t>Tất cả các Form nhập liệu</t>
        </is>
      </c>
      <c r="F63" s="4" t="inlineStr">
        <is>
          <t>Luồng ngoại lệ</t>
        </is>
      </c>
      <c r="G63" s="5" t="inlineStr">
        <is>
          <t>Kiểm chứng xác thực Token chống Cross-Site Request Forgery (CSRF Protection)</t>
        </is>
      </c>
      <c r="H63" s="5" t="inlineStr">
        <is>
          <t>Đăng nhập người dùng</t>
        </is>
      </c>
      <c r="I63" s="5" t="inlineStr">
        <is>
          <t>Request POST không kèm _token hoặc Header X-CSRF-TOKEN</t>
        </is>
      </c>
      <c r="J63" s="5" t="inlineStr">
        <is>
          <t>1. Dùng Postman gửi request POST trực tiếp không qua form web</t>
        </is>
      </c>
      <c r="K63" s="5" t="inlineStr">
        <is>
          <t>Hệ thống từ chối request với mã lỗi HTTP 419 Page Expired / CSRF Token Mismatch</t>
        </is>
      </c>
      <c r="L63" s="5" t="inlineStr">
        <is>
          <t>Trả về lỗi 419 chuẩn CSRF</t>
        </is>
      </c>
      <c r="M63" s="6" t="inlineStr">
        <is>
          <t>Đạt</t>
        </is>
      </c>
      <c r="N63" s="4" t="inlineStr">
        <is>
          <t>Rất cao</t>
        </is>
      </c>
      <c r="O63" s="4" t="inlineStr">
        <is>
          <t>V5 - Kiểm thử</t>
        </is>
      </c>
    </row>
    <row r="64" ht="42" customHeight="1">
      <c r="A64" s="7" t="inlineStr">
        <is>
          <t>TC-VALD-003</t>
        </is>
      </c>
      <c r="B64" s="7" t="inlineStr">
        <is>
          <t>VALD</t>
        </is>
      </c>
      <c r="C64" s="8" t="inlineStr">
        <is>
          <t>POST /api/v1/dishes/1/reviews</t>
        </is>
      </c>
      <c r="D64" s="8" t="inlineStr">
        <is>
          <t>danh_gia</t>
        </is>
      </c>
      <c r="E64" s="8" t="inlineStr">
        <is>
          <t>Trang Chi tiết món ăn</t>
        </is>
      </c>
      <c r="F64" s="7" t="inlineStr">
        <is>
          <t>Giá trị biên</t>
        </is>
      </c>
      <c r="G64" s="8" t="inlineStr">
        <is>
          <t>Kiểm chứng giới hạn độ dài nội dung Bình luận/Đánh giá (tối đa 1000 ký tự)</t>
        </is>
      </c>
      <c r="H64" s="8" t="inlineStr">
        <is>
          <t>Đang ở form bình luận món ăn</t>
        </is>
      </c>
      <c r="I64" s="8" t="inlineStr">
        <is>
          <t>Chuỗi văn bản dài đúng 1000 ký tự</t>
        </is>
      </c>
      <c r="J64" s="8" t="inlineStr">
        <is>
          <t>1. Nhập bình luận 1000 ký tự
2. Bấm Gửi đánh giá</t>
        </is>
      </c>
      <c r="K64" s="8" t="inlineStr">
        <is>
          <t>Lưu trữ thành công đủ 1000 ký tự vào danh_gia.noi_dung</t>
        </is>
      </c>
      <c r="L64" s="8" t="inlineStr">
        <is>
          <t>Lưu đủ 1000 ký tự, hiển thị giao diện đẹp</t>
        </is>
      </c>
      <c r="M64" s="6" t="inlineStr">
        <is>
          <t>Đạt</t>
        </is>
      </c>
      <c r="N64" s="7" t="inlineStr">
        <is>
          <t>Trung bình</t>
        </is>
      </c>
      <c r="O64" s="7" t="inlineStr">
        <is>
          <t>V5 - Kiểm thử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26" customWidth="1" min="4" max="4"/>
    <col width="24" customWidth="1" min="5" max="5"/>
    <col width="16" customWidth="1" min="6" max="6"/>
  </cols>
  <sheetData>
    <row r="1" ht="30" customHeight="1">
      <c r="A1" s="1" t="inlineStr">
        <is>
          <t>MA TRẬN THỐNG KÊ PHÂN BỔ 60 CA KIỂM THỬ THEO MÔ-ĐUN VÀ LOẠI KỊCH BẢN</t>
        </is>
      </c>
    </row>
    <row r="2" ht="20" customHeight="1">
      <c r="A2" s="2" t="inlineStr">
        <is>
          <t>Công thức tự động tính toán từ Sheet 'Danh_Muc_60_Ca_Kiem_Thu' | Phủ đủ 9 Mô-đun tiêu chuẩn</t>
        </is>
      </c>
    </row>
    <row r="4" ht="25" customHeight="1">
      <c r="A4" s="3" t="inlineStr">
        <is>
          <t>Mã mô-đun</t>
        </is>
      </c>
      <c r="B4" s="3" t="inlineStr">
        <is>
          <t>Tên mô-đun hệ thống</t>
        </is>
      </c>
      <c r="C4" s="3" t="inlineStr">
        <is>
          <t>Luồng thuận (Positive)</t>
        </is>
      </c>
      <c r="D4" s="3" t="inlineStr">
        <is>
          <t>Luồng ngoại lệ (Negative)</t>
        </is>
      </c>
      <c r="E4" s="3" t="inlineStr">
        <is>
          <t>Giá trị biên (Boundary)</t>
        </is>
      </c>
      <c r="F4" s="3" t="inlineStr">
        <is>
          <t>Tổng số ca</t>
        </is>
      </c>
    </row>
    <row r="5" ht="22" customHeight="1">
      <c r="A5" s="9" t="inlineStr">
        <is>
          <t>AUTH</t>
        </is>
      </c>
      <c r="B5" s="10" t="inlineStr">
        <is>
          <t>Xác thực và quản lý phiên</t>
        </is>
      </c>
      <c r="C5" s="9">
        <f>COUNTIFS(Danh_Muc_60_Ca_Kiem_Thu!$B$5:$B$64, A5, Danh_Muc_60_Ca_Kiem_Thu!$F$5:$F$64, "Luồng thuận")</f>
        <v/>
      </c>
      <c r="D5" s="9">
        <f>COUNTIFS(Danh_Muc_60_Ca_Kiem_Thu!$B$5:$B$64, A5, Danh_Muc_60_Ca_Kiem_Thu!$F$5:$F$64, "Luồng ngoại lệ")</f>
        <v/>
      </c>
      <c r="E5" s="9">
        <f>COUNTIFS(Danh_Muc_60_Ca_Kiem_Thu!$B$5:$B$64, A5, Danh_Muc_60_Ca_Kiem_Thu!$F$5:$F$64, "Giá trị biên")</f>
        <v/>
      </c>
      <c r="F5" s="9">
        <f>SUM(C5:E5)</f>
        <v/>
      </c>
    </row>
    <row r="6" ht="22" customHeight="1">
      <c r="A6" s="11" t="inlineStr">
        <is>
          <t>PERM</t>
        </is>
      </c>
      <c r="B6" s="12" t="inlineStr">
        <is>
          <t>Phân quyền theo vai trò (RBAC)</t>
        </is>
      </c>
      <c r="C6" s="11">
        <f>COUNTIFS(Danh_Muc_60_Ca_Kiem_Thu!$B$5:$B$64, A6, Danh_Muc_60_Ca_Kiem_Thu!$F$5:$F$64, "Luồng thuận")</f>
        <v/>
      </c>
      <c r="D6" s="11">
        <f>COUNTIFS(Danh_Muc_60_Ca_Kiem_Thu!$B$5:$B$64, A6, Danh_Muc_60_Ca_Kiem_Thu!$F$5:$F$64, "Luồng ngoại lệ")</f>
        <v/>
      </c>
      <c r="E6" s="11">
        <f>COUNTIFS(Danh_Muc_60_Ca_Kiem_Thu!$B$5:$B$64, A6, Danh_Muc_60_Ca_Kiem_Thu!$F$5:$F$64, "Giá trị biên")</f>
        <v/>
      </c>
      <c r="F6" s="11">
        <f>SUM(C6:E6)</f>
        <v/>
      </c>
    </row>
    <row r="7" ht="22" customHeight="1">
      <c r="A7" s="9" t="inlineStr">
        <is>
          <t>CATL</t>
        </is>
      </c>
      <c r="B7" s="10" t="inlineStr">
        <is>
          <t>Danh mục, tìm kiếm, lọc, phân trang</t>
        </is>
      </c>
      <c r="C7" s="9">
        <f>COUNTIFS(Danh_Muc_60_Ca_Kiem_Thu!$B$5:$B$64, A7, Danh_Muc_60_Ca_Kiem_Thu!$F$5:$F$64, "Luồng thuận")</f>
        <v/>
      </c>
      <c r="D7" s="9">
        <f>COUNTIFS(Danh_Muc_60_Ca_Kiem_Thu!$B$5:$B$64, A7, Danh_Muc_60_Ca_Kiem_Thu!$F$5:$F$64, "Luồng ngoại lệ")</f>
        <v/>
      </c>
      <c r="E7" s="9">
        <f>COUNTIFS(Danh_Muc_60_Ca_Kiem_Thu!$B$5:$B$64, A7, Danh_Muc_60_Ca_Kiem_Thu!$F$5:$F$64, "Giá trị biên")</f>
        <v/>
      </c>
      <c r="F7" s="9">
        <f>SUM(C7:E7)</f>
        <v/>
      </c>
    </row>
    <row r="8" ht="22" customHeight="1">
      <c r="A8" s="11" t="inlineStr">
        <is>
          <t>BOOK</t>
        </is>
      </c>
      <c r="B8" s="12" t="inlineStr">
        <is>
          <t>Đặt chỗ / Địa điểm &amp; giữ chỗ có thời hạn</t>
        </is>
      </c>
      <c r="C8" s="11">
        <f>COUNTIFS(Danh_Muc_60_Ca_Kiem_Thu!$B$5:$B$64, A8, Danh_Muc_60_Ca_Kiem_Thu!$F$5:$F$64, "Luồng thuận")</f>
        <v/>
      </c>
      <c r="D8" s="11">
        <f>COUNTIFS(Danh_Muc_60_Ca_Kiem_Thu!$B$5:$B$64, A8, Danh_Muc_60_Ca_Kiem_Thu!$F$5:$F$64, "Luồng ngoại lệ")</f>
        <v/>
      </c>
      <c r="E8" s="11">
        <f>COUNTIFS(Danh_Muc_60_Ca_Kiem_Thu!$B$5:$B$64, A8, Danh_Muc_60_Ca_Kiem_Thu!$F$5:$F$64, "Giá trị biên")</f>
        <v/>
      </c>
      <c r="F8" s="11">
        <f>SUM(C8:E8)</f>
        <v/>
      </c>
    </row>
    <row r="9" ht="22" customHeight="1">
      <c r="A9" s="9" t="inlineStr">
        <is>
          <t>PAY</t>
        </is>
      </c>
      <c r="B9" s="10" t="inlineStr">
        <is>
          <t>Thanh toán chế độ thử nghiệm (Sandbox)</t>
        </is>
      </c>
      <c r="C9" s="9">
        <f>COUNTIFS(Danh_Muc_60_Ca_Kiem_Thu!$B$5:$B$64, A9, Danh_Muc_60_Ca_Kiem_Thu!$F$5:$F$64, "Luồng thuận")</f>
        <v/>
      </c>
      <c r="D9" s="9">
        <f>COUNTIFS(Danh_Muc_60_Ca_Kiem_Thu!$B$5:$B$64, A9, Danh_Muc_60_Ca_Kiem_Thu!$F$5:$F$64, "Luồng ngoại lệ")</f>
        <v/>
      </c>
      <c r="E9" s="9">
        <f>COUNTIFS(Danh_Muc_60_Ca_Kiem_Thu!$B$5:$B$64, A9, Danh_Muc_60_Ca_Kiem_Thu!$F$5:$F$64, "Giá trị biên")</f>
        <v/>
      </c>
      <c r="F9" s="9">
        <f>SUM(C9:E9)</f>
        <v/>
      </c>
    </row>
    <row r="10" ht="22" customHeight="1">
      <c r="A10" s="11" t="inlineStr">
        <is>
          <t>ORDR</t>
        </is>
      </c>
      <c r="B10" s="12" t="inlineStr">
        <is>
          <t>Quản lý đơn, hủy và hoàn tiền</t>
        </is>
      </c>
      <c r="C10" s="11">
        <f>COUNTIFS(Danh_Muc_60_Ca_Kiem_Thu!$B$5:$B$64, A10, Danh_Muc_60_Ca_Kiem_Thu!$F$5:$F$64, "Luồng thuận")</f>
        <v/>
      </c>
      <c r="D10" s="11">
        <f>COUNTIFS(Danh_Muc_60_Ca_Kiem_Thu!$B$5:$B$64, A10, Danh_Muc_60_Ca_Kiem_Thu!$F$5:$F$64, "Luồng ngoại lệ")</f>
        <v/>
      </c>
      <c r="E10" s="11">
        <f>COUNTIFS(Danh_Muc_60_Ca_Kiem_Thu!$B$5:$B$64, A10, Danh_Muc_60_Ca_Kiem_Thu!$F$5:$F$64, "Giá trị biên")</f>
        <v/>
      </c>
      <c r="F10" s="11">
        <f>SUM(C10:E10)</f>
        <v/>
      </c>
    </row>
    <row r="11" ht="22" customHeight="1">
      <c r="A11" s="9" t="inlineStr">
        <is>
          <t>ADMN</t>
        </is>
      </c>
      <c r="B11" s="10" t="inlineStr">
        <is>
          <t>Quản trị, báo cáo, kết xuất</t>
        </is>
      </c>
      <c r="C11" s="9">
        <f>COUNTIFS(Danh_Muc_60_Ca_Kiem_Thu!$B$5:$B$64, A11, Danh_Muc_60_Ca_Kiem_Thu!$F$5:$F$64, "Luồng thuận")</f>
        <v/>
      </c>
      <c r="D11" s="9">
        <f>COUNTIFS(Danh_Muc_60_Ca_Kiem_Thu!$B$5:$B$64, A11, Danh_Muc_60_Ca_Kiem_Thu!$F$5:$F$64, "Luồng ngoại lệ")</f>
        <v/>
      </c>
      <c r="E11" s="9">
        <f>COUNTIFS(Danh_Muc_60_Ca_Kiem_Thu!$B$5:$B$64, A11, Danh_Muc_60_Ca_Kiem_Thu!$F$5:$F$64, "Giá trị biên")</f>
        <v/>
      </c>
      <c r="F11" s="9">
        <f>SUM(C11:E11)</f>
        <v/>
      </c>
    </row>
    <row r="12" ht="22" customHeight="1">
      <c r="A12" s="11" t="inlineStr">
        <is>
          <t>PYMD</t>
        </is>
      </c>
      <c r="B12" s="12" t="inlineStr">
        <is>
          <t>Mô-đun Python: gợi ý &amp; thống kê</t>
        </is>
      </c>
      <c r="C12" s="11">
        <f>COUNTIFS(Danh_Muc_60_Ca_Kiem_Thu!$B$5:$B$64, A12, Danh_Muc_60_Ca_Kiem_Thu!$F$5:$F$64, "Luồng thuận")</f>
        <v/>
      </c>
      <c r="D12" s="11">
        <f>COUNTIFS(Danh_Muc_60_Ca_Kiem_Thu!$B$5:$B$64, A12, Danh_Muc_60_Ca_Kiem_Thu!$F$5:$F$64, "Luồng ngoại lệ")</f>
        <v/>
      </c>
      <c r="E12" s="11">
        <f>COUNTIFS(Danh_Muc_60_Ca_Kiem_Thu!$B$5:$B$64, A12, Danh_Muc_60_Ca_Kiem_Thu!$F$5:$F$64, "Giá trị biên")</f>
        <v/>
      </c>
      <c r="F12" s="11">
        <f>SUM(C12:E12)</f>
        <v/>
      </c>
    </row>
    <row r="13" ht="22" customHeight="1">
      <c r="A13" s="9" t="inlineStr">
        <is>
          <t>VALD</t>
        </is>
      </c>
      <c r="B13" s="10" t="inlineStr">
        <is>
          <t>Kiểm tra tính hợp lệ dữ liệu đầu vào</t>
        </is>
      </c>
      <c r="C13" s="9">
        <f>COUNTIFS(Danh_Muc_60_Ca_Kiem_Thu!$B$5:$B$64, A13, Danh_Muc_60_Ca_Kiem_Thu!$F$5:$F$64, "Luồng thuận")</f>
        <v/>
      </c>
      <c r="D13" s="9">
        <f>COUNTIFS(Danh_Muc_60_Ca_Kiem_Thu!$B$5:$B$64, A13, Danh_Muc_60_Ca_Kiem_Thu!$F$5:$F$64, "Luồng ngoại lệ")</f>
        <v/>
      </c>
      <c r="E13" s="9">
        <f>COUNTIFS(Danh_Muc_60_Ca_Kiem_Thu!$B$5:$B$64, A13, Danh_Muc_60_Ca_Kiem_Thu!$F$5:$F$64, "Giá trị biên")</f>
        <v/>
      </c>
      <c r="F13" s="9">
        <f>SUM(C13:E13)</f>
        <v/>
      </c>
    </row>
    <row r="14" ht="22" customHeight="1">
      <c r="A14" s="13" t="inlineStr">
        <is>
          <t>TỔNG</t>
        </is>
      </c>
      <c r="B14" s="14" t="inlineStr">
        <is>
          <t>Toàn bộ hệ thống</t>
        </is>
      </c>
      <c r="C14" s="13">
        <f>SUM(C5:C13)</f>
        <v/>
      </c>
      <c r="D14" s="13">
        <f>SUM(D5:D13)</f>
        <v/>
      </c>
      <c r="E14" s="13">
        <f>SUM(E5:E13)</f>
        <v/>
      </c>
      <c r="F14" s="13">
        <f>SUM(F5:F13)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2026-09-24T06:47:15Z</dcterms:created>
  <dcterms:modified xmlns:dcterms="http://purl.org/dc/terms/" xmlns:xsi="http://www.w3.org/2001/XMLSchema-instance" xsi:type="dcterms:W3CDTF">2026-09-24T06:47:15Z</dcterms:modified>
</cp:coreProperties>
</file>