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Muc_60_Ca_Kiem_Thu" sheetId="1" state="visible" r:id="rId1"/>
    <sheet xmlns:r="http://schemas.openxmlformats.org/officeDocument/2006/relationships" name="Thong_Ke_Phan_B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sz val="11"/>
    </font>
    <font>
      <name val="Calibri"/>
      <b val="1"/>
      <sz val="12"/>
    </font>
    <font>
      <name val="Calibri"/>
      <b val="1"/>
      <color rgb="00002060"/>
      <sz val="12"/>
    </font>
    <font>
      <name val="Calibri"/>
      <b val="1"/>
      <color rgb="00002060"/>
      <sz val="11"/>
    </font>
    <font>
      <name val="Calibri"/>
      <b val="1"/>
      <sz val="10"/>
    </font>
    <font>
      <name val="Calibri"/>
      <i val="1"/>
      <sz val="10"/>
    </font>
  </fonts>
  <fills count="10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2F5F9"/>
        <bgColor rgb="00F2F5F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7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0" customWidth="1" min="4" max="4"/>
    <col width="25" customWidth="1" min="5" max="5"/>
    <col width="25" customWidth="1" min="6" max="6"/>
    <col width="32" customWidth="1" min="7" max="7"/>
    <col width="32" customWidth="1" min="8" max="8"/>
    <col width="30" customWidth="1" min="9" max="9"/>
    <col width="14" customWidth="1" min="10" max="10"/>
    <col width="18" customWidth="1" min="11" max="11"/>
    <col width="18" customWidth="1" min="12" max="12"/>
    <col width="22" customWidth="1" min="13" max="13"/>
  </cols>
  <sheetData>
    <row r="1" ht="40" customHeight="1">
      <c r="A1" s="1" t="inlineStr">
        <is>
          <t>DANH MỤC 60 CA KIỂM THỬ CHỨC NĂNG - HỆ THỐNG BẢN ĐỒ SỐ DU LỊCH ẨM THỰC VÙNG MIỀN (ĐT-11)</t>
        </is>
      </c>
    </row>
    <row r="2" ht="20" customHeight="1">
      <c r="A2" s="2" t="inlineStr">
        <is>
          <t>Học phần: CSE703073 - Lập trình ứng dụng web trong du lịch 2 | Quy chuẩn Phụ lục PL-I (Đủ 13 trường đặc tả)</t>
        </is>
      </c>
    </row>
    <row r="4" ht="28" customHeight="1">
      <c r="A4" s="3" t="inlineStr">
        <is>
          <t>Mã ca (ID)</t>
        </is>
      </c>
      <c r="B4" s="3" t="inlineStr">
        <is>
          <t>Mô-đun</t>
        </is>
      </c>
      <c r="C4" s="3" t="inlineStr">
        <is>
          <t>Loại kịch bản</t>
        </is>
      </c>
      <c r="D4" s="3" t="inlineStr">
        <is>
          <t>Mục tiêu kiểm thử</t>
        </is>
      </c>
      <c r="E4" s="3" t="inlineStr">
        <is>
          <t>Tiền điều kiện</t>
        </is>
      </c>
      <c r="F4" s="3" t="inlineStr">
        <is>
          <t>Dữ liệu đầu vào</t>
        </is>
      </c>
      <c r="G4" s="3" t="inlineStr">
        <is>
          <t>Các bước thực hiện</t>
        </is>
      </c>
      <c r="H4" s="3" t="inlineStr">
        <is>
          <t>Kết quả mong đợi</t>
        </is>
      </c>
      <c r="I4" s="3" t="inlineStr">
        <is>
          <t>Kết quả thực tế</t>
        </is>
      </c>
      <c r="J4" s="3" t="inlineStr">
        <is>
          <t>Trạng thái</t>
        </is>
      </c>
      <c r="K4" s="3" t="inlineStr">
        <is>
          <t>Mức nghiêm trọng</t>
        </is>
      </c>
      <c r="L4" s="3" t="inlineStr">
        <is>
          <t>Người thực hiện &amp; VT</t>
        </is>
      </c>
      <c r="M4" s="3" t="inlineStr">
        <is>
          <t>Ghi chú / Môi trường</t>
        </is>
      </c>
    </row>
    <row r="5" ht="32" customHeight="1">
      <c r="A5" s="4" t="inlineStr">
        <is>
          <t>TC-AUTH-001</t>
        </is>
      </c>
      <c r="B5" s="4" t="inlineStr">
        <is>
          <t>AUTH</t>
        </is>
      </c>
      <c r="C5" s="5" t="inlineStr">
        <is>
          <t>Luồng thuận</t>
        </is>
      </c>
      <c r="D5" s="6" t="inlineStr">
        <is>
          <t>Kiểm chứng đăng ký tài khoản khách hàng mới thành công</t>
        </is>
      </c>
      <c r="E5" s="6" t="inlineStr">
        <is>
          <t>Đã mở trang đăng ký; chưa đăng nhập</t>
        </is>
      </c>
      <c r="F5" s="6" t="inlineStr">
        <is>
          <t>Email: khach01@demo.test, Mật khẩu: MatKhau!123, Họ tên: Nguyễn Văn A</t>
        </is>
      </c>
      <c r="G5" s="6" t="inlineStr">
        <is>
          <t>1. Nhập họ tên, email, sđt, mật khẩu hợp lệ
2. Bấm nút 'Đăng ký'</t>
        </is>
      </c>
      <c r="H5" s="6" t="inlineStr">
        <is>
          <t>Tạo tài khoản thành công, mật khẩu băm Argon2id trong CSDL, tự động đăng nhập và chuyển hướng về Trang chủ</t>
        </is>
      </c>
      <c r="I5" s="6" t="inlineStr">
        <is>
          <t>Tài khoản được tạo thành công, chuỗi mật khẩu băm $argon2id$ trong CSDL</t>
        </is>
      </c>
      <c r="J5" s="4" t="inlineStr">
        <is>
          <t>Đạt</t>
        </is>
      </c>
      <c r="K5" s="4" t="inlineStr">
        <is>
          <t>Cao</t>
        </is>
      </c>
      <c r="L5" s="6" t="inlineStr">
        <is>
          <t>V5 - Kiểm thử</t>
        </is>
      </c>
      <c r="M5" s="6" t="inlineStr">
        <is>
          <t>Kiểm thử trực tuyến / Local</t>
        </is>
      </c>
    </row>
    <row r="6" ht="32" customHeight="1">
      <c r="A6" s="7" t="inlineStr">
        <is>
          <t>TC-AUTH-002</t>
        </is>
      </c>
      <c r="B6" s="7" t="inlineStr">
        <is>
          <t>AUTH</t>
        </is>
      </c>
      <c r="C6" s="5" t="inlineStr">
        <is>
          <t>Luồng thuận</t>
        </is>
      </c>
      <c r="D6" s="8" t="inlineStr">
        <is>
          <t>Kiểm chứng đăng nhập thành công với tài khoản hợp lệ</t>
        </is>
      </c>
      <c r="E6" s="8" t="inlineStr">
        <is>
          <t>Tài khoản khach01@demo.test đã tồn tại trong CSDL</t>
        </is>
      </c>
      <c r="F6" s="8" t="inlineStr">
        <is>
          <t>Email: khach01@demo.test, Mật khẩu: MatKhau!123</t>
        </is>
      </c>
      <c r="G6" s="8" t="inlineStr">
        <is>
          <t>1. Mở trang /dang-nhap
2. Nhập email và mật khẩu đúng
3. Bấm 'Đăng nhập'</t>
        </is>
      </c>
      <c r="H6" s="8" t="inlineStr">
        <is>
          <t>Đăng nhập thành công, tạo phiên làm việc (session), hiển thị tên 'Nguyễn Văn A' trên thanh điều hướng</t>
        </is>
      </c>
      <c r="I6" s="8" t="inlineStr">
        <is>
          <t>Đăng nhập thành công, cookie session được khởi tạo với cờ HttpOnly, SameSite=Lax</t>
        </is>
      </c>
      <c r="J6" s="7" t="inlineStr">
        <is>
          <t>Đạt</t>
        </is>
      </c>
      <c r="K6" s="7" t="inlineStr">
        <is>
          <t>Rất cao</t>
        </is>
      </c>
      <c r="L6" s="8" t="inlineStr">
        <is>
          <t>V5 - Kiểm thử</t>
        </is>
      </c>
      <c r="M6" s="8" t="inlineStr">
        <is>
          <t>Kiểm thử trực tuyến / Local</t>
        </is>
      </c>
    </row>
    <row r="7" ht="32" customHeight="1">
      <c r="A7" s="4" t="inlineStr">
        <is>
          <t>TC-AUTH-003</t>
        </is>
      </c>
      <c r="B7" s="4" t="inlineStr">
        <is>
          <t>AUTH</t>
        </is>
      </c>
      <c r="C7" s="5" t="inlineStr">
        <is>
          <t>Luồng thuận</t>
        </is>
      </c>
      <c r="D7" s="6" t="inlineStr">
        <is>
          <t>Kiểm chứng chức năng đăng xuất và hủy phiên làm việc</t>
        </is>
      </c>
      <c r="E7" s="6" t="inlineStr">
        <is>
          <t>Người dùng đang trong trạng thái đã đăng nhập</t>
        </is>
      </c>
      <c r="F7" s="6" t="inlineStr">
        <is>
          <t>Hành động: Bấm nút 'Đăng xuất'</t>
        </is>
      </c>
      <c r="G7" s="6" t="inlineStr">
        <is>
          <t>1. Bấm nút 'Đăng xuất' trên header
2. Bấm nút Quay lại (Back) của trình duyệt</t>
        </is>
      </c>
      <c r="H7" s="6" t="inlineStr">
        <is>
          <t>Phiên làm việc bị hủy hoàn toàn, token CSRF được sinh mới, bấm Back không thể xem lại trang cá nhân</t>
        </is>
      </c>
      <c r="I7" s="6" t="inlineStr">
        <is>
          <t>Hủy phiên thành công, trình duyệt chuyển về trang chủ, bấm Back bị yêu cầu đăng nhập lại</t>
        </is>
      </c>
      <c r="J7" s="4" t="inlineStr">
        <is>
          <t>Đạt</t>
        </is>
      </c>
      <c r="K7" s="4" t="inlineStr">
        <is>
          <t>Cao</t>
        </is>
      </c>
      <c r="L7" s="6" t="inlineStr">
        <is>
          <t>V5 - Kiểm thử</t>
        </is>
      </c>
      <c r="M7" s="6" t="inlineStr">
        <is>
          <t>Kiểm thử trực tuyến / Local</t>
        </is>
      </c>
    </row>
    <row r="8" ht="32" customHeight="1">
      <c r="A8" s="7" t="inlineStr">
        <is>
          <t>TC-AUTH-004</t>
        </is>
      </c>
      <c r="B8" s="7" t="inlineStr">
        <is>
          <t>AUTH</t>
        </is>
      </c>
      <c r="C8" s="9" t="inlineStr">
        <is>
          <t>Luồng ngoại lệ</t>
        </is>
      </c>
      <c r="D8" s="8" t="inlineStr">
        <is>
          <t>Kiểm chứng khóa tạm thời tài khoản khi đăng nhập sai quá 5 lần</t>
        </is>
      </c>
      <c r="E8" s="8" t="inlineStr">
        <is>
          <t>Tài khoản khach01@demo.test hoạt động bình thường</t>
        </is>
      </c>
      <c r="F8" s="8" t="inlineStr">
        <is>
          <t>Email: khach01@demo.test, Mật khẩu sai: SaiMatKhau123 (thử 5 lần)</t>
        </is>
      </c>
      <c r="G8" s="8" t="inlineStr">
        <is>
          <t>1. Nhập mật khẩu sai và bấm 'Đăng nhập' 5 lần liên tiếp</t>
        </is>
      </c>
      <c r="H8" s="8" t="inlineStr">
        <is>
          <t>Hệ thống kích hoạt cơ chế Rate Limiting, khóa tạm thời tài khoản 15 phút, trả về thông báo lỗi 429</t>
        </is>
      </c>
      <c r="I8" s="8" t="inlineStr">
        <is>
          <t>Trả về lỗi 'Bạn đã thử quá số lần cho phép. Vui lòng thử lại sau 15 phút.'</t>
        </is>
      </c>
      <c r="J8" s="7" t="inlineStr">
        <is>
          <t>Đạt</t>
        </is>
      </c>
      <c r="K8" s="7" t="inlineStr">
        <is>
          <t>Cao</t>
        </is>
      </c>
      <c r="L8" s="8" t="inlineStr">
        <is>
          <t>V5 - Kiểm thử</t>
        </is>
      </c>
      <c r="M8" s="8" t="inlineStr">
        <is>
          <t>Kiểm thử trực tuyến / Local</t>
        </is>
      </c>
    </row>
    <row r="9" ht="32" customHeight="1">
      <c r="A9" s="4" t="inlineStr">
        <is>
          <t>TC-AUTH-005</t>
        </is>
      </c>
      <c r="B9" s="4" t="inlineStr">
        <is>
          <t>AUTH</t>
        </is>
      </c>
      <c r="C9" s="9" t="inlineStr">
        <is>
          <t>Luồng ngoại lệ</t>
        </is>
      </c>
      <c r="D9" s="6" t="inlineStr">
        <is>
          <t>Kiểm chứng từ chối đăng ký với Email đã tồn tại</t>
        </is>
      </c>
      <c r="E9" s="6" t="inlineStr">
        <is>
          <t>Email admin@demo.test đã tồn tại trong CSDL</t>
        </is>
      </c>
      <c r="F9" s="6" t="inlineStr">
        <is>
          <t>Email: admin@demo.test, Mật khẩu: MatKhau!123</t>
        </is>
      </c>
      <c r="G9" s="6" t="inlineStr">
        <is>
          <t>1. Nhập email admin@demo.test vào form đăng ký
2. Bấm 'Đăng ký'</t>
        </is>
      </c>
      <c r="H9" s="6" t="inlineStr">
        <is>
          <t>Hệ thống từ chối, hiển thị thông báo lỗi 'Email này đã được sử dụng' dưới ô nhập liệu</t>
        </is>
      </c>
      <c r="I9" s="6" t="inlineStr">
        <is>
          <t>Hiển thị thông báo lỗi chính xác, không phát sinh bản ghi trùng lặp trong CSDL</t>
        </is>
      </c>
      <c r="J9" s="4" t="inlineStr">
        <is>
          <t>Đạt</t>
        </is>
      </c>
      <c r="K9" s="4" t="inlineStr">
        <is>
          <t>Trung bình</t>
        </is>
      </c>
      <c r="L9" s="6" t="inlineStr">
        <is>
          <t>V5 - Kiểm thử</t>
        </is>
      </c>
      <c r="M9" s="6" t="inlineStr">
        <is>
          <t>Kiểm thử trực tuyến / Local</t>
        </is>
      </c>
    </row>
    <row r="10" ht="32" customHeight="1">
      <c r="A10" s="7" t="inlineStr">
        <is>
          <t>TC-AUTH-006</t>
        </is>
      </c>
      <c r="B10" s="7" t="inlineStr">
        <is>
          <t>AUTH</t>
        </is>
      </c>
      <c r="C10" s="9" t="inlineStr">
        <is>
          <t>Luồng ngoại lệ</t>
        </is>
      </c>
      <c r="D10" s="8" t="inlineStr">
        <is>
          <t>Kiểm chứng hủy toàn bộ phiên trên thiết bị khác khi đổi mật khẩu</t>
        </is>
      </c>
      <c r="E10" s="8" t="inlineStr">
        <is>
          <t>Tài khoản đang đăng nhập đồng thời trên Trình duyệt A (Chrome) và Trình duyệt B (Firefox)</t>
        </is>
      </c>
      <c r="F10" s="8" t="inlineStr">
        <is>
          <t>Mật khẩu cũ: MatKhau!123, Mật khẩu mới: MatKhauMoi!456</t>
        </is>
      </c>
      <c r="G10" s="8" t="inlineStr">
        <is>
          <t>1. Đổi mật khẩu tại Trình duyệt A
2. Tải lại trang tại Trình duyệt B</t>
        </is>
      </c>
      <c r="H10" s="8" t="inlineStr">
        <is>
          <t>Trình duyệt B bị đăng xuất tự động do toàn bộ session cũ bị thu hồi trong CSDL (`logoutOtherDevices`)</t>
        </is>
      </c>
      <c r="I10" s="8" t="inlineStr">
        <is>
          <t>Trình duyệt B bị đẩy về trang đăng nhập với thông báo phiên hết hạn</t>
        </is>
      </c>
      <c r="J10" s="7" t="inlineStr">
        <is>
          <t>Đạt</t>
        </is>
      </c>
      <c r="K10" s="7" t="inlineStr">
        <is>
          <t>Rất cao</t>
        </is>
      </c>
      <c r="L10" s="8" t="inlineStr">
        <is>
          <t>V5 - Kiểm thử</t>
        </is>
      </c>
      <c r="M10" s="8" t="inlineStr">
        <is>
          <t>Kiểm thử trực tuyến / Local</t>
        </is>
      </c>
    </row>
    <row r="11" ht="32" customHeight="1">
      <c r="A11" s="4" t="inlineStr">
        <is>
          <t>TC-AUTH-007</t>
        </is>
      </c>
      <c r="B11" s="4" t="inlineStr">
        <is>
          <t>AUTH</t>
        </is>
      </c>
      <c r="C11" s="9" t="inlineStr">
        <is>
          <t>Luồng ngoại lệ</t>
        </is>
      </c>
      <c r="D11" s="6" t="inlineStr">
        <is>
          <t>Kiểm chứng từ chối đăng nhập với tài khoản bị khóa (`status=locked`)</t>
        </is>
      </c>
      <c r="E11" s="6" t="inlineStr">
        <is>
          <t>Tài khoản khach_khoa@demo.test có `status = locked` trong CSDL</t>
        </is>
      </c>
      <c r="F11" s="6" t="inlineStr">
        <is>
          <t>Email: khach_khoa@demo.test, Mật khẩu: MatKhau!123</t>
        </is>
      </c>
      <c r="G11" s="6" t="inlineStr">
        <is>
          <t>1. Nhập thông tin tài khoản bị khóa
2. Bấm 'Đăng nhập'</t>
        </is>
      </c>
      <c r="H11" s="6" t="inlineStr">
        <is>
          <t>Hệ thống từ chối đăng nhập, hiển thị thông báo 'Tài khoản của bạn đã bị khóa. Vui lòng liên hệ quản trị viên.'</t>
        </is>
      </c>
      <c r="I11" s="6" t="inlineStr">
        <is>
          <t>Từ chối đăng nhập thành công, không tạo session</t>
        </is>
      </c>
      <c r="J11" s="4" t="inlineStr">
        <is>
          <t>Đạt</t>
        </is>
      </c>
      <c r="K11" s="4" t="inlineStr">
        <is>
          <t>Cao</t>
        </is>
      </c>
      <c r="L11" s="6" t="inlineStr">
        <is>
          <t>V5 - Kiểm thử</t>
        </is>
      </c>
      <c r="M11" s="6" t="inlineStr">
        <is>
          <t>Kiểm thử trực tuyến / Local</t>
        </is>
      </c>
    </row>
    <row r="12" ht="32" customHeight="1">
      <c r="A12" s="7" t="inlineStr">
        <is>
          <t>TC-AUTH-008</t>
        </is>
      </c>
      <c r="B12" s="7" t="inlineStr">
        <is>
          <t>AUTH</t>
        </is>
      </c>
      <c r="C12" s="10" t="inlineStr">
        <is>
          <t>Giá trị biên</t>
        </is>
      </c>
      <c r="D12" s="8" t="inlineStr">
        <is>
          <t>Kiểm chứng đăng ký tài khoản với Email độ dài cực đại (180 ký tự)</t>
        </is>
      </c>
      <c r="E12" s="8" t="inlineStr">
        <is>
          <t>Đang ở trang đăng ký</t>
        </is>
      </c>
      <c r="F12" s="8" t="inlineStr">
        <is>
          <t>Email chuỗi 180 ký tự hợp lệ dạng name_length_180@domain.test</t>
        </is>
      </c>
      <c r="G12" s="8" t="inlineStr">
        <is>
          <t>1. Nhập email dài đúng 180 ký tự
2. Bấm 'Đăng ký'</t>
        </is>
      </c>
      <c r="H12" s="8" t="inlineStr">
        <is>
          <t>Hệ thống tiếp nhận hợp lệ, lưu trữ không bị cắt xén dữ liệu trong cột `users.email`</t>
        </is>
      </c>
      <c r="I12" s="8" t="inlineStr">
        <is>
          <t>Đăng ký thành công, CSDL lưu đủ 180 ký tự</t>
        </is>
      </c>
      <c r="J12" s="7" t="inlineStr">
        <is>
          <t>Đạt</t>
        </is>
      </c>
      <c r="K12" s="7" t="inlineStr">
        <is>
          <t>Trung bình</t>
        </is>
      </c>
      <c r="L12" s="8" t="inlineStr">
        <is>
          <t>V5 - Kiểm thử</t>
        </is>
      </c>
      <c r="M12" s="8" t="inlineStr">
        <is>
          <t>Kiểm thử trực tuyến / Local</t>
        </is>
      </c>
    </row>
    <row r="13" ht="32" customHeight="1">
      <c r="A13" s="4" t="inlineStr">
        <is>
          <t>TC-AUTH-009</t>
        </is>
      </c>
      <c r="B13" s="4" t="inlineStr">
        <is>
          <t>AUTH</t>
        </is>
      </c>
      <c r="C13" s="10" t="inlineStr">
        <is>
          <t>Giá trị biên</t>
        </is>
      </c>
      <c r="D13" s="6" t="inlineStr">
        <is>
          <t>Kiểm chứng mật khẩu chứa ký tự UTF-8 unicode và emoji</t>
        </is>
      </c>
      <c r="E13" s="6" t="inlineStr">
        <is>
          <t>Đang ở trang đăng ký</t>
        </is>
      </c>
      <c r="F13" s="6" t="inlineStr">
        <is>
          <t>Mật khẩu: NganNgonẨmThực2026!🌶️🍲</t>
        </is>
      </c>
      <c r="G13" s="6" t="inlineStr">
        <is>
          <t>1. Nhập mật khẩu chứa tiếng Việt có dấu và emoji
2. Đăng ký và đăng nhập lại</t>
        </is>
      </c>
      <c r="H13" s="6" t="inlineStr">
        <is>
          <t>Thuật toán Argon2id/Bcrypt mã hóa chính xác, đăng nhập thành công với đúng chuỗi mật khẩu này</t>
        </is>
      </c>
      <c r="I13" s="6" t="inlineStr">
        <is>
          <t>Mã hóa và xác thực chính xác 100%</t>
        </is>
      </c>
      <c r="J13" s="4" t="inlineStr">
        <is>
          <t>Đạt</t>
        </is>
      </c>
      <c r="K13" s="4" t="inlineStr">
        <is>
          <t>Trung bình</t>
        </is>
      </c>
      <c r="L13" s="6" t="inlineStr">
        <is>
          <t>V5 - Kiểm thử</t>
        </is>
      </c>
      <c r="M13" s="6" t="inlineStr">
        <is>
          <t>Kiểm thử trực tuyến / Local</t>
        </is>
      </c>
    </row>
    <row r="14" ht="32" customHeight="1">
      <c r="A14" s="7" t="inlineStr">
        <is>
          <t>TC-PERM-001</t>
        </is>
      </c>
      <c r="B14" s="7" t="inlineStr">
        <is>
          <t>PERM</t>
        </is>
      </c>
      <c r="C14" s="5" t="inlineStr">
        <is>
          <t>Luồng thuận</t>
        </is>
      </c>
      <c r="D14" s="8" t="inlineStr">
        <is>
          <t>Kiểm chứng Quản trị viên (`admin`) truy cập đầy đủ trang Quản trị</t>
        </is>
      </c>
      <c r="E14" s="8" t="inlineStr">
        <is>
          <t>Đã đăng nhập tài khoản vai trò `admin`</t>
        </is>
      </c>
      <c r="F14" s="8" t="inlineStr">
        <is>
          <t>URL: /admin/dashboard, /admin/co-so, /admin/mon-an</t>
        </is>
      </c>
      <c r="G14" s="8" t="inlineStr">
        <is>
          <t>1. Truy cập các đường dẫn quản trị hệ thống</t>
        </is>
      </c>
      <c r="H14" s="8" t="inlineStr">
        <is>
          <t>Cho phép truy cập, hiển thị đầy đủ giao diện Bảng điều khiển và các chức năng quản lý</t>
        </is>
      </c>
      <c r="I14" s="8" t="inlineStr">
        <is>
          <t>Truy cập thành công, HTTP Status 200 OK</t>
        </is>
      </c>
      <c r="J14" s="7" t="inlineStr">
        <is>
          <t>Đạt</t>
        </is>
      </c>
      <c r="K14" s="7" t="inlineStr">
        <is>
          <t>Rất cao</t>
        </is>
      </c>
      <c r="L14" s="8" t="inlineStr">
        <is>
          <t>V5 - Kiểm thử</t>
        </is>
      </c>
      <c r="M14" s="8" t="inlineStr">
        <is>
          <t>Kiểm thử trực tuyến / Local</t>
        </is>
      </c>
    </row>
    <row r="15" ht="32" customHeight="1">
      <c r="A15" s="4" t="inlineStr">
        <is>
          <t>TC-PERM-002</t>
        </is>
      </c>
      <c r="B15" s="4" t="inlineStr">
        <is>
          <t>PERM</t>
        </is>
      </c>
      <c r="C15" s="5" t="inlineStr">
        <is>
          <t>Luồng thuận</t>
        </is>
      </c>
      <c r="D15" s="6" t="inlineStr">
        <is>
          <t>Kiểm chứng Cơ sở ẩm thực (`supplier`) chỉ quản lý dữ liệu của chính mình</t>
        </is>
      </c>
      <c r="E15" s="6" t="inlineStr">
        <is>
          <t>Đã đăng nhập tài khoản Nhà cung cấp A (`supplier1`)</t>
        </is>
      </c>
      <c r="F15" s="6" t="inlineStr">
        <is>
          <t>URL: /nha-cung-cap/mon-an</t>
        </is>
      </c>
      <c r="G15" s="6" t="inlineStr">
        <is>
          <t>1. Vào trang danh sách món ăn của nhà cung cấp
2. Kiểm tra danh sách hiển thị</t>
        </is>
      </c>
      <c r="H15" s="6" t="inlineStr">
        <is>
          <t>Chỉ hiển thị các món ăn có `supplier_id` thuộc về Nhà cung cấp A, không thấy món của nhà cung cấp khác</t>
        </is>
      </c>
      <c r="I15" s="6" t="inlineStr">
        <is>
          <t>Dữ liệu được lọc chính xác theo phạm vi tài khoản</t>
        </is>
      </c>
      <c r="J15" s="4" t="inlineStr">
        <is>
          <t>Đạt</t>
        </is>
      </c>
      <c r="K15" s="4" t="inlineStr">
        <is>
          <t>Rất cao</t>
        </is>
      </c>
      <c r="L15" s="6" t="inlineStr">
        <is>
          <t>V5 - Kiểm thử</t>
        </is>
      </c>
      <c r="M15" s="6" t="inlineStr">
        <is>
          <t>Kiểm thử trực tuyến / Local</t>
        </is>
      </c>
    </row>
    <row r="16" ht="32" customHeight="1">
      <c r="A16" s="7" t="inlineStr">
        <is>
          <t>TC-PERM-003</t>
        </is>
      </c>
      <c r="B16" s="7" t="inlineStr">
        <is>
          <t>PERM</t>
        </is>
      </c>
      <c r="C16" s="9" t="inlineStr">
        <is>
          <t>Luồng ngoại lệ</t>
        </is>
      </c>
      <c r="D16" s="8" t="inlineStr">
        <is>
          <t>Kiểm chứng Khách hàng truy cập trực tiếp URL quản trị bị từ chối 403</t>
        </is>
      </c>
      <c r="E16" s="8" t="inlineStr">
        <is>
          <t>Đã đăng nhập tài khoản vai trò `customer`</t>
        </is>
      </c>
      <c r="F16" s="8" t="inlineStr">
        <is>
          <t>URL gõ trực tiếp: http://localhost:8000/admin/mon-an</t>
        </is>
      </c>
      <c r="G16" s="8" t="inlineStr">
        <is>
          <t>1. Dán URL quản trị vào thanh địa chỉ trình duyệt
2. Nhấn Enter</t>
        </is>
      </c>
      <c r="H16" s="8" t="inlineStr">
        <is>
          <t>Hệ thống chặn truy cập ở tầng máy chủ (Middleware `EnsureRole`), trả về trang lỗi 403 Forbidden</t>
        </is>
      </c>
      <c r="I16" s="8" t="inlineStr">
        <is>
          <t>Trả về lỗi 403, không lộ dữ liệu quản trị, nhật ký ghi vết `phan_quyen.tu_choi`</t>
        </is>
      </c>
      <c r="J16" s="7" t="inlineStr">
        <is>
          <t>Đạt</t>
        </is>
      </c>
      <c r="K16" s="7" t="inlineStr">
        <is>
          <t>Rất cao</t>
        </is>
      </c>
      <c r="L16" s="8" t="inlineStr">
        <is>
          <t>V5 - Kiểm thử</t>
        </is>
      </c>
      <c r="M16" s="8" t="inlineStr">
        <is>
          <t>Kiểm thử trực tuyến / Local</t>
        </is>
      </c>
    </row>
    <row r="17" ht="32" customHeight="1">
      <c r="A17" s="4" t="inlineStr">
        <is>
          <t>TC-PERM-004</t>
        </is>
      </c>
      <c r="B17" s="4" t="inlineStr">
        <is>
          <t>PERM</t>
        </is>
      </c>
      <c r="C17" s="9" t="inlineStr">
        <is>
          <t>Luồng ngoại lệ</t>
        </is>
      </c>
      <c r="D17" s="6" t="inlineStr">
        <is>
          <t>Kiểm chứng Khách hàng gọi API Quản trị qua cURL/Postman bị từ chối</t>
        </is>
      </c>
      <c r="E17" s="6" t="inlineStr">
        <is>
          <t>Lấy cookie phiên của tài khoản `customer`</t>
        </is>
      </c>
      <c r="F17" s="6" t="inlineStr">
        <is>
          <t>Request: GET /api/v1/admin/co-so kèm Cookie session</t>
        </is>
      </c>
      <c r="G17" s="6" t="inlineStr">
        <is>
          <t>1. Bật Postman / cURL gửi request tới API quản trị kèm cookie khách hàng</t>
        </is>
      </c>
      <c r="H17" s="6" t="inlineStr">
        <is>
          <t>API trả về JSON: `{"message": "Khong du quyen truy cap."}`, HTTP Status 403</t>
        </is>
      </c>
      <c r="I17" s="6" t="inlineStr">
        <is>
          <t>Trả về HTTP 403 JSON chính xác, không phơi dữ liệu CSDL</t>
        </is>
      </c>
      <c r="J17" s="4" t="inlineStr">
        <is>
          <t>Đạt</t>
        </is>
      </c>
      <c r="K17" s="4" t="inlineStr">
        <is>
          <t>Rất cao</t>
        </is>
      </c>
      <c r="L17" s="6" t="inlineStr">
        <is>
          <t>V5 - Kiểm thử</t>
        </is>
      </c>
      <c r="M17" s="6" t="inlineStr">
        <is>
          <t>Kiểm thử trực tuyến / Local</t>
        </is>
      </c>
    </row>
    <row r="18" ht="32" customHeight="1">
      <c r="A18" s="7" t="inlineStr">
        <is>
          <t>TC-PERM-005</t>
        </is>
      </c>
      <c r="B18" s="7" t="inlineStr">
        <is>
          <t>PERM</t>
        </is>
      </c>
      <c r="C18" s="9" t="inlineStr">
        <is>
          <t>Luồng ngoại lệ</t>
        </is>
      </c>
      <c r="D18" s="8" t="inlineStr">
        <is>
          <t>Kiểm chứng chống lỗ hổng IDOR khi Nhà cung cấp A sửa ID món ăn của Nhà cung cấp B</t>
        </is>
      </c>
      <c r="E18" s="8" t="inlineStr">
        <is>
          <t>Nhà cung cấp A sở hữu Món #10; Nhà cung cấp B sở hữu Món #25</t>
        </is>
      </c>
      <c r="F18" s="8" t="inlineStr">
        <is>
          <t>Request: POST /nha-cung-cap/mon-an/25/update (do Nhà cung cấp A gửi)</t>
        </is>
      </c>
      <c r="G18" s="8" t="inlineStr">
        <is>
          <t>1. Đăng nhập Nhà cung cấp A
2. Cố tình gửi form cập nhật với ID món ăn #25 của Nhà cung cấp B</t>
        </is>
      </c>
      <c r="H18" s="8" t="inlineStr">
        <is>
          <t>Lớp Policy (`BookingPolicy` / `ProductPolicy`) chặn thao tác, trả về 403 Forbidden</t>
        </is>
      </c>
      <c r="I18" s="8" t="inlineStr">
        <is>
          <t>Chặn thành công, dữ liệu món #25 không bị thay đổi</t>
        </is>
      </c>
      <c r="J18" s="7" t="inlineStr">
        <is>
          <t>Đạt</t>
        </is>
      </c>
      <c r="K18" s="7" t="inlineStr">
        <is>
          <t>Rất cao</t>
        </is>
      </c>
      <c r="L18" s="8" t="inlineStr">
        <is>
          <t>V5 - Kiểm thử</t>
        </is>
      </c>
      <c r="M18" s="8" t="inlineStr">
        <is>
          <t>Kiểm thử trực tuyến / Local</t>
        </is>
      </c>
    </row>
    <row r="19" ht="32" customHeight="1">
      <c r="A19" s="4" t="inlineStr">
        <is>
          <t>TC-PERM-006</t>
        </is>
      </c>
      <c r="B19" s="4" t="inlineStr">
        <is>
          <t>PERM</t>
        </is>
      </c>
      <c r="C19" s="9" t="inlineStr">
        <is>
          <t>Luồng ngoại lệ</t>
        </is>
      </c>
      <c r="D19" s="6" t="inlineStr">
        <is>
          <t>Kiểm chứng Khách chưa đăng nhập bấm 'Đặt bàn / Đánh giá' bị yêu cầu đăng nhập</t>
        </is>
      </c>
      <c r="E19" s="6" t="inlineStr">
        <is>
          <t>Chưa đăng nhập hệ thống (Khách vãng lai)</t>
        </is>
      </c>
      <c r="F19" s="6" t="inlineStr">
        <is>
          <t>URL: /mon-an/bun-cha-ha-noi, Hành động: Bấm 'Đặt bàn ngay'</t>
        </is>
      </c>
      <c r="G19" s="6" t="inlineStr">
        <is>
          <t>1. Mở trang chi tiết món ăn
2. Nhấp nút 'Đặt bàn ngay'</t>
        </is>
      </c>
      <c r="H19" s="6" t="inlineStr">
        <is>
          <t>Hệ thống chuyển hướng về trang /dang-nhap kèm thông báo 'Vui lòng đăng nhập để thực hiện đặt bàn'</t>
        </is>
      </c>
      <c r="I19" s="6" t="inlineStr">
        <is>
          <t>Chuyển hướng chính xác, lưu `redirect_url` để quay lại sau khi đăng nhập</t>
        </is>
      </c>
      <c r="J19" s="4" t="inlineStr">
        <is>
          <t>Đạt</t>
        </is>
      </c>
      <c r="K19" s="4" t="inlineStr">
        <is>
          <t>Cao</t>
        </is>
      </c>
      <c r="L19" s="6" t="inlineStr">
        <is>
          <t>V5 - Kiểm thử</t>
        </is>
      </c>
      <c r="M19" s="6" t="inlineStr">
        <is>
          <t>Kiểm thử trực tuyến / Local</t>
        </is>
      </c>
    </row>
    <row r="20" ht="32" customHeight="1">
      <c r="A20" s="7" t="inlineStr">
        <is>
          <t>TC-PERM-007</t>
        </is>
      </c>
      <c r="B20" s="7" t="inlineStr">
        <is>
          <t>PERM</t>
        </is>
      </c>
      <c r="C20" s="10" t="inlineStr">
        <is>
          <t>Giá trị biên</t>
        </is>
      </c>
      <c r="D20" s="8" t="inlineStr">
        <is>
          <t>Kiểm chứng thay đổi vai trò người dùng trong CSDL khi phiên làm việc đang mở</t>
        </is>
      </c>
      <c r="E20" s="8" t="inlineStr">
        <is>
          <t>Tài khoản dang_dung@demo.test đang đăng nhập vai trò `admin`</t>
        </is>
      </c>
      <c r="F20" s="8" t="inlineStr">
        <is>
          <t>Sửa CSDL: UPDATE users SET role='customer' WHERE id=5</t>
        </is>
      </c>
      <c r="G20" s="8" t="inlineStr">
        <is>
          <t>1. Sửa vai trò tài khoản thành customer trực tiếp trong DB
2. Tại trình duyệt, bấm F5 tải lại trang /admin/dashboard</t>
        </is>
      </c>
      <c r="H20" s="8" t="inlineStr">
        <is>
          <t>Middleware kiểm tra vai trò từ CSDL/Session tươi, phát hiện hạ quyền và từ chối 403 ngay lập tức</t>
        </is>
      </c>
      <c r="I20" s="8" t="inlineStr">
        <is>
          <t>Đạt 403 ngay lập tức khi F5</t>
        </is>
      </c>
      <c r="J20" s="7" t="inlineStr">
        <is>
          <t>Đạt</t>
        </is>
      </c>
      <c r="K20" s="7" t="inlineStr">
        <is>
          <t>Cao</t>
        </is>
      </c>
      <c r="L20" s="8" t="inlineStr">
        <is>
          <t>V5 - Kiểm thử</t>
        </is>
      </c>
      <c r="M20" s="8" t="inlineStr">
        <is>
          <t>Kiểm thử trực tuyến / Local</t>
        </is>
      </c>
    </row>
    <row r="21" ht="32" customHeight="1">
      <c r="A21" s="4" t="inlineStr">
        <is>
          <t>TC-CATL-001</t>
        </is>
      </c>
      <c r="B21" s="4" t="inlineStr">
        <is>
          <t>CATL</t>
        </is>
      </c>
      <c r="C21" s="5" t="inlineStr">
        <is>
          <t>Luồng thuận</t>
        </is>
      </c>
      <c r="D21" s="6" t="inlineStr">
        <is>
          <t>Kiểm chứng tìm kiếm món ăn theo từ khóa 'Bún chả'</t>
        </is>
      </c>
      <c r="E21" s="6" t="inlineStr">
        <is>
          <t>CSDL có chứa món 'Bún chả Hà Nội' và 'Bún chả kẹp que bamboo'</t>
        </is>
      </c>
      <c r="F21" s="6" t="inlineStr">
        <is>
          <t>Từ khóa search: 'Bún chả'</t>
        </is>
      </c>
      <c r="G21" s="6" t="inlineStr">
        <is>
          <t>1. Nhập 'Bún chả' vào ô tìm kiếm trên Header
2. Bấm nút Tìm kiếm (Enter)</t>
        </is>
      </c>
      <c r="H21" s="6" t="inlineStr">
        <is>
          <t>Trả về danh sách danh mục chứa các món ăn có tiêu đề khớp từ khóa 'Bún chả', phân trang phía máy chủ</t>
        </is>
      </c>
      <c r="I21" s="6" t="inlineStr">
        <is>
          <t>Trả về 2 kết quả chính xác, câu truy vấn SQL tham số hóa an toàn</t>
        </is>
      </c>
      <c r="J21" s="4" t="inlineStr">
        <is>
          <t>Đạt</t>
        </is>
      </c>
      <c r="K21" s="4" t="inlineStr">
        <is>
          <t>Cao</t>
        </is>
      </c>
      <c r="L21" s="6" t="inlineStr">
        <is>
          <t>V5 - Kiểm thử</t>
        </is>
      </c>
      <c r="M21" s="6" t="inlineStr">
        <is>
          <t>Kiểm thử trực tuyến / Local</t>
        </is>
      </c>
    </row>
    <row r="22" ht="32" customHeight="1">
      <c r="A22" s="7" t="inlineStr">
        <is>
          <t>TC-CATL-002</t>
        </is>
      </c>
      <c r="B22" s="7" t="inlineStr">
        <is>
          <t>CATL</t>
        </is>
      </c>
      <c r="C22" s="5" t="inlineStr">
        <is>
          <t>Luồng thuận</t>
        </is>
      </c>
      <c r="D22" s="8" t="inlineStr">
        <is>
          <t>Kiểm chứng lọc món ăn theo Vùng miền ('Miền Bắc') và Tỉnh thành ('Hà Nội')</t>
        </is>
      </c>
      <c r="E22" s="8" t="inlineStr">
        <is>
          <t>Đang ở trang Danh mục Ẩm thực</t>
        </is>
      </c>
      <c r="F22" s="8" t="inlineStr">
        <is>
          <t>Bộ lọc: Vùng miền = 'Miền Bắc', Tỉnh thành = 'Hà Nội'</t>
        </is>
      </c>
      <c r="G22" s="8" t="inlineStr">
        <is>
          <t>1. Chọn 'Miền Bắc' ở dropdown Vùng miền
2. Chọn 'Hà Nội' ở dropdown Tỉnh thành
3. Bấm 'Lọc'</t>
        </is>
      </c>
      <c r="H22" s="8" t="inlineStr">
        <is>
          <t>Danh sách cập nhật chỉ hiển thị các món ăn thuộc địa bàn Hà Nội, URL giữ tham số `?vung_mien=mien-bac&amp;tinh=ha-noi`</t>
        </is>
      </c>
      <c r="I22" s="8" t="inlineStr">
        <is>
          <t>Lọc dữ liệu chính xác, URL thân thiện SEO</t>
        </is>
      </c>
      <c r="J22" s="7" t="inlineStr">
        <is>
          <t>Đạt</t>
        </is>
      </c>
      <c r="K22" s="7" t="inlineStr">
        <is>
          <t>Cao</t>
        </is>
      </c>
      <c r="L22" s="8" t="inlineStr">
        <is>
          <t>V5 - Kiểm thử</t>
        </is>
      </c>
      <c r="M22" s="8" t="inlineStr">
        <is>
          <t>Kiểm thử trực tuyến / Local</t>
        </is>
      </c>
    </row>
    <row r="23" ht="32" customHeight="1">
      <c r="A23" s="4" t="inlineStr">
        <is>
          <t>TC-CATL-003</t>
        </is>
      </c>
      <c r="B23" s="4" t="inlineStr">
        <is>
          <t>CATL</t>
        </is>
      </c>
      <c r="C23" s="5" t="inlineStr">
        <is>
          <t>Luồng thuận</t>
        </is>
      </c>
      <c r="D23" s="6" t="inlineStr">
        <is>
          <t>Kiểm chứng lọc món ăn theo khoảng giá (50.000đ - 200.000đ) &amp; sắp xếp giá tăng dần</t>
        </is>
      </c>
      <c r="E23" s="6" t="inlineStr">
        <is>
          <t>Đang ở trang Danh mục Ẩm thực</t>
        </is>
      </c>
      <c r="F23" s="6" t="inlineStr">
        <is>
          <t>price_min: 50000, price_max: 200000, sort: price_asc</t>
        </is>
      </c>
      <c r="G23" s="6" t="inlineStr">
        <is>
          <t>1. Nhập khoảng giá 50,000 - 200,000
2. Chọn sắp xếp 'Giá tăng dần'
3. Bấm Lọc</t>
        </is>
      </c>
      <c r="H23" s="6" t="inlineStr">
        <is>
          <t>Danh sách hiển thị các món trong khoảng giá, thứ tự giá tăng dần chuẩn xác</t>
        </is>
      </c>
      <c r="I23" s="6" t="inlineStr">
        <is>
          <t>Kết quả lọc và sắp xếp đúng 100%</t>
        </is>
      </c>
      <c r="J23" s="4" t="inlineStr">
        <is>
          <t>Đạt</t>
        </is>
      </c>
      <c r="K23" s="4" t="inlineStr">
        <is>
          <t>Cao</t>
        </is>
      </c>
      <c r="L23" s="6" t="inlineStr">
        <is>
          <t>V5 - Kiểm thử</t>
        </is>
      </c>
      <c r="M23" s="6" t="inlineStr">
        <is>
          <t>Kiểm thử trực tuyến / Local</t>
        </is>
      </c>
    </row>
    <row r="24" ht="32" customHeight="1">
      <c r="A24" s="7" t="inlineStr">
        <is>
          <t>TC-CATL-004</t>
        </is>
      </c>
      <c r="B24" s="7" t="inlineStr">
        <is>
          <t>CATL</t>
        </is>
      </c>
      <c r="C24" s="5" t="inlineStr">
        <is>
          <t>Luồng thuận</t>
        </is>
      </c>
      <c r="D24" s="8" t="inlineStr">
        <is>
          <t>Kiểm chứng phân trang phía máy chủ (12 món/trang) giữ nguyên bộ lọc</t>
        </is>
      </c>
      <c r="E24" s="8" t="inlineStr">
        <is>
          <t>Danh sách tìm kiếm trả về 30 kết quả (3 trang)</t>
        </is>
      </c>
      <c r="F24" s="8" t="inlineStr">
        <is>
          <t>Trang hiện tại: Trang 1, Bấm chuyển sang: Trang 2</t>
        </is>
      </c>
      <c r="G24" s="8" t="inlineStr">
        <is>
          <t>1. Cuộn xuống chân trang
2. Nhấp chọn số trang '2'</t>
        </is>
      </c>
      <c r="H24" s="8" t="inlineStr">
        <is>
          <t>Tải trang 2 từ server bằng SQL `LIMIT 12 OFFSET 12`, giữ nguyên các tham số bộ lọc trên URL</t>
        </is>
      </c>
      <c r="I24" s="8" t="inlineStr">
        <is>
          <t>Phân trang máy chủ mượt mà, không tải toàn bộ dữ liệu về client</t>
        </is>
      </c>
      <c r="J24" s="7" t="inlineStr">
        <is>
          <t>Đạt</t>
        </is>
      </c>
      <c r="K24" s="7" t="inlineStr">
        <is>
          <t>Cao</t>
        </is>
      </c>
      <c r="L24" s="8" t="inlineStr">
        <is>
          <t>V5 - Kiểm thử</t>
        </is>
      </c>
      <c r="M24" s="8" t="inlineStr">
        <is>
          <t>Kiểm thử trực tuyến / Local</t>
        </is>
      </c>
    </row>
    <row r="25" ht="32" customHeight="1">
      <c r="A25" s="4" t="inlineStr">
        <is>
          <t>TC-CATL-005</t>
        </is>
      </c>
      <c r="B25" s="4" t="inlineStr">
        <is>
          <t>CATL</t>
        </is>
      </c>
      <c r="C25" s="9" t="inlineStr">
        <is>
          <t>Luồng ngoại lệ</t>
        </is>
      </c>
      <c r="D25" s="6" t="inlineStr">
        <is>
          <t>Kiểm chứng tìm kiếm từ khóa không có trong CSDL ('xyz123noexist')</t>
        </is>
      </c>
      <c r="E25" s="6" t="inlineStr">
        <is>
          <t>Đang ở trang tìm kiếm</t>
        </is>
      </c>
      <c r="F25" s="6" t="inlineStr">
        <is>
          <t>Từ khóa: 'xyz123noexist'</t>
        </is>
      </c>
      <c r="G25" s="6" t="inlineStr">
        <is>
          <t>1. Nhập từ khóa rác vào ô tìm kiếm
2. Bấm Tìm kiếm</t>
        </is>
      </c>
      <c r="H25" s="6" t="inlineStr">
        <is>
          <t>Hiển thị giao diện trạng thái rỗng (Empty State) thân thiện: 'Không tìm thấy món ăn phù hợp' kèm gợi ý món nổi bật</t>
        </is>
      </c>
      <c r="I25" s="6" t="inlineStr">
        <is>
          <t>Hiển thị giao diện Empty State đúng thiết kế</t>
        </is>
      </c>
      <c r="J25" s="4" t="inlineStr">
        <is>
          <t>Đạt</t>
        </is>
      </c>
      <c r="K25" s="4" t="inlineStr">
        <is>
          <t>Trung bình</t>
        </is>
      </c>
      <c r="L25" s="6" t="inlineStr">
        <is>
          <t>V5 - Kiểm thử</t>
        </is>
      </c>
      <c r="M25" s="6" t="inlineStr">
        <is>
          <t>Kiểm thử trực tuyến / Local</t>
        </is>
      </c>
    </row>
    <row r="26" ht="32" customHeight="1">
      <c r="A26" s="7" t="inlineStr">
        <is>
          <t>TC-CATL-006</t>
        </is>
      </c>
      <c r="B26" s="7" t="inlineStr">
        <is>
          <t>CATL</t>
        </is>
      </c>
      <c r="C26" s="9" t="inlineStr">
        <is>
          <t>Luồng ngoại lệ</t>
        </is>
      </c>
      <c r="D26" s="8" t="inlineStr">
        <is>
          <t>Kiểm chứng chống tấn công SQL Injection trên ô tìm kiếm</t>
        </is>
      </c>
      <c r="E26" s="8" t="inlineStr">
        <is>
          <t>Đang ở trang tìm kiếm</t>
        </is>
      </c>
      <c r="F26" s="8" t="inlineStr">
        <is>
          <t>Từ khóa tiêm nhiễm: `' OR '1'='1 --` hoặc `" UNION SELECT * FROM users --`</t>
        </is>
      </c>
      <c r="G26" s="8" t="inlineStr">
        <is>
          <t>1. Dán chuỗi SQL Injection vào ô tìm kiếm
2. Bấm Tìm kiếm</t>
        </is>
      </c>
      <c r="H26" s="8" t="inlineStr">
        <is>
          <t>Hệ thống tham số hóa truy vấn (Eloquent ORM), xử lý chuỗi như từ khóa văn bản thuần, không phát sinh lỗi SQL</t>
        </is>
      </c>
      <c r="I26" s="8" t="inlineStr">
        <is>
          <t>Không lộ lỗi SQL, trả về 0 kết quả an toàn</t>
        </is>
      </c>
      <c r="J26" s="7" t="inlineStr">
        <is>
          <t>Đạt</t>
        </is>
      </c>
      <c r="K26" s="7" t="inlineStr">
        <is>
          <t>Rất cao</t>
        </is>
      </c>
      <c r="L26" s="8" t="inlineStr">
        <is>
          <t>V5 - Kiểm thử</t>
        </is>
      </c>
      <c r="M26" s="8" t="inlineStr">
        <is>
          <t>Kiểm thử trực tuyến / Local</t>
        </is>
      </c>
    </row>
    <row r="27" ht="32" customHeight="1">
      <c r="A27" s="4" t="inlineStr">
        <is>
          <t>TC-CATL-007</t>
        </is>
      </c>
      <c r="B27" s="4" t="inlineStr">
        <is>
          <t>CATL</t>
        </is>
      </c>
      <c r="C27" s="9" t="inlineStr">
        <is>
          <t>Luồng ngoại lệ</t>
        </is>
      </c>
      <c r="D27" s="6" t="inlineStr">
        <is>
          <t>Kiểm chứng chống tấn công XSS trên ô tìm kiếm và bộ lọc</t>
        </is>
      </c>
      <c r="E27" s="6" t="inlineStr">
        <is>
          <t>Đang ở trang tìm kiếm</t>
        </is>
      </c>
      <c r="F27" s="6" t="inlineStr">
        <is>
          <t>Từ khóa XSS: `&lt;script&gt;alert('XSS_Test')&lt;/script&gt;`</t>
        </is>
      </c>
      <c r="G27" s="6" t="inlineStr">
        <is>
          <t>1. Nhập mã script XSS vào ô tìm kiếm
2. Bấm Tìm kiếm</t>
        </is>
      </c>
      <c r="H27" s="6" t="inlineStr">
        <is>
          <t>Hệ thống mã hóa ký tự HTML (Blade `{{ }}` / Vue text interpolation), hiển thị chuỗi rõ dạng văn bản, không thực thi mã script</t>
        </is>
      </c>
      <c r="I27" s="6" t="inlineStr">
        <is>
          <t>An toàn XSS 100%, không xuất hiện hộp thoại alert</t>
        </is>
      </c>
      <c r="J27" s="4" t="inlineStr">
        <is>
          <t>Đạt</t>
        </is>
      </c>
      <c r="K27" s="4" t="inlineStr">
        <is>
          <t>Rất cao</t>
        </is>
      </c>
      <c r="L27" s="6" t="inlineStr">
        <is>
          <t>V5 - Kiểm thử</t>
        </is>
      </c>
      <c r="M27" s="6" t="inlineStr">
        <is>
          <t>Kiểm thử trực tuyến / Local</t>
        </is>
      </c>
    </row>
    <row r="28" ht="32" customHeight="1">
      <c r="A28" s="7" t="inlineStr">
        <is>
          <t>TC-CATL-008</t>
        </is>
      </c>
      <c r="B28" s="7" t="inlineStr">
        <is>
          <t>CATL</t>
        </is>
      </c>
      <c r="C28" s="10" t="inlineStr">
        <is>
          <t>Giá trị biên</t>
        </is>
      </c>
      <c r="D28" s="8" t="inlineStr">
        <is>
          <t>Kiểm chứng lọc khoảng giá khi `price_min &gt; price_max` (min=500.000đ, max=100.000đ)</t>
        </is>
      </c>
      <c r="E28" s="8" t="inlineStr">
        <is>
          <t>Đang ở trang bộ lọc giá</t>
        </is>
      </c>
      <c r="F28" s="8" t="inlineStr">
        <is>
          <t>price_min: 500000, price_max: 100000</t>
        </is>
      </c>
      <c r="G28" s="8" t="inlineStr">
        <is>
          <t>1. Nhập min = 500,000 và max = 100,000
2. Bấm Lọc</t>
        </is>
      </c>
      <c r="H28" s="8" t="inlineStr">
        <is>
          <t>Máy chủ trả về lỗi Form Validation 422: 'Giá tối đa phải lớn hơn hoặc bằng giá tối thiểu'</t>
        </is>
      </c>
      <c r="I28" s="8" t="inlineStr">
        <is>
          <t>Báo lỗi 422 chính xác, không chạy truy vấn sai</t>
        </is>
      </c>
      <c r="J28" s="7" t="inlineStr">
        <is>
          <t>Đạt</t>
        </is>
      </c>
      <c r="K28" s="7" t="inlineStr">
        <is>
          <t>Trung bình</t>
        </is>
      </c>
      <c r="L28" s="8" t="inlineStr">
        <is>
          <t>V5 - Kiểm thử</t>
        </is>
      </c>
      <c r="M28" s="8" t="inlineStr">
        <is>
          <t>Kiểm thử trực tuyến / Local</t>
        </is>
      </c>
    </row>
    <row r="29" ht="32" customHeight="1">
      <c r="A29" s="4" t="inlineStr">
        <is>
          <t>TC-CATL-009</t>
        </is>
      </c>
      <c r="B29" s="4" t="inlineStr">
        <is>
          <t>CATL</t>
        </is>
      </c>
      <c r="C29" s="10" t="inlineStr">
        <is>
          <t>Giá trị biên</t>
        </is>
      </c>
      <c r="D29" s="6" t="inlineStr">
        <is>
          <t>Kiểm chứng thay đổi số trang âm (`?page=-1`) hoặc vượt ngưỡng (`?page=9999`) trên URL</t>
        </is>
      </c>
      <c r="E29" s="6" t="inlineStr">
        <is>
          <t>Đang ở trang danh sách</t>
        </is>
      </c>
      <c r="F29" s="6" t="inlineStr">
        <is>
          <t>URL: /mon-an?page=-1 và /mon-an?page=9999</t>
        </is>
      </c>
      <c r="G29" s="6" t="inlineStr">
        <is>
          <t>1. Sửa trực tiếp tham số `page` trên URL thành -1 và 9999</t>
        </is>
      </c>
      <c r="H29" s="6" t="inlineStr">
        <is>
          <t>Trường hợp `page=-1` tự đưa về page=1; trường hợp `page=9999` hiển thị trang rỗng hợp lệ, không sập app (500)</t>
        </is>
      </c>
      <c r="I29" s="6" t="inlineStr">
        <is>
          <t>Xử lý tham số trang an toàn, HTTP Status 200 OK</t>
        </is>
      </c>
      <c r="J29" s="4" t="inlineStr">
        <is>
          <t>Đạt</t>
        </is>
      </c>
      <c r="K29" s="4" t="inlineStr">
        <is>
          <t>Trung bình</t>
        </is>
      </c>
      <c r="L29" s="6" t="inlineStr">
        <is>
          <t>V5 - Kiểm thử</t>
        </is>
      </c>
      <c r="M29" s="6" t="inlineStr">
        <is>
          <t>Kiểm thử trực tuyến / Local</t>
        </is>
      </c>
    </row>
    <row r="30" ht="32" customHeight="1">
      <c r="A30" s="7" t="inlineStr">
        <is>
          <t>TC-CATL-010</t>
        </is>
      </c>
      <c r="B30" s="7" t="inlineStr">
        <is>
          <t>CATL</t>
        </is>
      </c>
      <c r="C30" s="10" t="inlineStr">
        <is>
          <t>Giá trị biên</t>
        </is>
      </c>
      <c r="D30" s="8" t="inlineStr">
        <is>
          <t>Kiểm chứng tìm kiếm từ khóa độ dài cực đại (120 ký tự)</t>
        </is>
      </c>
      <c r="E30" s="8" t="inlineStr">
        <is>
          <t>Đang ở trang tìm kiếm</t>
        </is>
      </c>
      <c r="F30" s="8" t="inlineStr">
        <is>
          <t>Từ khóa: Chuỗi 120 ký tự chữ và số</t>
        </is>
      </c>
      <c r="G30" s="8" t="inlineStr">
        <is>
          <t>1. Dán chuỗi 120 ký tự vào ô tìm kiếm
2. Bấm Tìm kiếm</t>
        </is>
      </c>
      <c r="H30" s="8" t="inlineStr">
        <is>
          <t>Hệ thống cắt gọn hoặc xử lý hợp lệ trong giới hạn, không gây tràn bộ nhớ hay lỗi DB</t>
        </is>
      </c>
      <c r="I30" s="8" t="inlineStr">
        <is>
          <t>Xử lý thành công trong giới hạn quy định</t>
        </is>
      </c>
      <c r="J30" s="7" t="inlineStr">
        <is>
          <t>Đạt</t>
        </is>
      </c>
      <c r="K30" s="7" t="inlineStr">
        <is>
          <t>Thấp</t>
        </is>
      </c>
      <c r="L30" s="8" t="inlineStr">
        <is>
          <t>V5 - Kiểm thử</t>
        </is>
      </c>
      <c r="M30" s="8" t="inlineStr">
        <is>
          <t>Kiểm thử trực tuyến / Local</t>
        </is>
      </c>
    </row>
    <row r="31" ht="32" customHeight="1">
      <c r="A31" s="4" t="inlineStr">
        <is>
          <t>TC-BOOK-001</t>
        </is>
      </c>
      <c r="B31" s="4" t="inlineStr">
        <is>
          <t>BOOK</t>
        </is>
      </c>
      <c r="C31" s="5" t="inlineStr">
        <is>
          <t>Luồng thuận</t>
        </is>
      </c>
      <c r="D31" s="6" t="inlineStr">
        <is>
          <t>Kiểm chứng đặt chỗ cơ sở ẩm thực thành công với dữ liệu hợp lệ</t>
        </is>
      </c>
      <c r="E31" s="6" t="inlineStr">
        <is>
          <t>Khách hàng đã đăng nhập; món ăn/cơ sở ID #12 còn tồn 10 chỗ ngày 2026-12-01</t>
        </is>
      </c>
      <c r="F31" s="6" t="inlineStr">
        <is>
          <t>product_id: 12, service_date: 2026-12-01, pax: 2, note: 'Bàn gần cửa sổ'</t>
        </is>
      </c>
      <c r="G31" s="6" t="inlineStr">
        <is>
          <t>1. Chọn ngày 2026-12-01 và 2 khách
2. Bấm 'Đặt chỗ ngay'</t>
        </is>
      </c>
      <c r="H31" s="6" t="inlineStr">
        <is>
          <t>Tạo đơn thành công trạng thái `pending_payment`, số chỗ đang giữ `seats_held` tăng 2, sinh mã đơn hàng duy nhất</t>
        </is>
      </c>
      <c r="I31" s="6" t="inlineStr">
        <is>
          <t>Tạo đơn thành công, sinh mã đơn hàng BK20261200123</t>
        </is>
      </c>
      <c r="J31" s="4" t="inlineStr">
        <is>
          <t>Đạt</t>
        </is>
      </c>
      <c r="K31" s="4" t="inlineStr">
        <is>
          <t>Rất cao</t>
        </is>
      </c>
      <c r="L31" s="6" t="inlineStr">
        <is>
          <t>V5 - Kiểm thử</t>
        </is>
      </c>
      <c r="M31" s="6" t="inlineStr">
        <is>
          <t>Kiểm thử trực tuyến / Local</t>
        </is>
      </c>
    </row>
    <row r="32" ht="32" customHeight="1">
      <c r="A32" s="7" t="inlineStr">
        <is>
          <t>TC-BOOK-002</t>
        </is>
      </c>
      <c r="B32" s="7" t="inlineStr">
        <is>
          <t>BOOK</t>
        </is>
      </c>
      <c r="C32" s="5" t="inlineStr">
        <is>
          <t>Luồng thuận</t>
        </is>
      </c>
      <c r="D32" s="8" t="inlineStr">
        <is>
          <t>Kiểm chứng cơ chế Giữ chỗ có thời hạn (Hold 15 phút)</t>
        </is>
      </c>
      <c r="E32" s="8" t="inlineStr">
        <is>
          <t>Đã đặt chỗ thành công ở TC-BOOK-001</t>
        </is>
      </c>
      <c r="F32" s="8" t="inlineStr">
        <is>
          <t>Đơn hàng trạng thái `pending_payment`</t>
        </is>
      </c>
      <c r="G32" s="8" t="inlineStr">
        <is>
          <t>1. Kiểm tra trường `hold_expires_at` trong CSDL của đơn vừa tạo</t>
        </is>
      </c>
      <c r="H32" s="8" t="inlineStr">
        <is>
          <t>Trường `hold_expires_at` có giá trị đúng bằng thời điểm hiện tại + 15 phút</t>
        </is>
      </c>
      <c r="I32" s="8" t="inlineStr">
        <is>
          <t>Thời gian hết hạn giữ chỗ được ghi nhận chính xác +15 phút</t>
        </is>
      </c>
      <c r="J32" s="7" t="inlineStr">
        <is>
          <t>Đạt</t>
        </is>
      </c>
      <c r="K32" s="7" t="inlineStr">
        <is>
          <t>Cao</t>
        </is>
      </c>
      <c r="L32" s="8" t="inlineStr">
        <is>
          <t>V5 - Kiểm thử</t>
        </is>
      </c>
      <c r="M32" s="8" t="inlineStr">
        <is>
          <t>Kiểm thử trực tuyến / Local</t>
        </is>
      </c>
    </row>
    <row r="33" ht="32" customHeight="1">
      <c r="A33" s="4" t="inlineStr">
        <is>
          <t>TC-BOOK-003</t>
        </is>
      </c>
      <c r="B33" s="4" t="inlineStr">
        <is>
          <t>BOOK</t>
        </is>
      </c>
      <c r="C33" s="5" t="inlineStr">
        <is>
          <t>Luồng thuận</t>
        </is>
      </c>
      <c r="D33" s="6" t="inlineStr">
        <is>
          <t>Kiểm chứng tự động hoàn chỗ về kho khi hết hạn 15 phút giữ chỗ</t>
        </is>
      </c>
      <c r="E33" s="6" t="inlineStr">
        <is>
          <t>Đơn hàng ID #45 ở trạng thái `pending_payment` có `hold_expires_at` &lt; NOW()</t>
        </is>
      </c>
      <c r="F33" s="6" t="inlineStr">
        <is>
          <t>Chạy Cronjob / Schedule: `php artisan schedule:run`</t>
        </is>
      </c>
      <c r="G33" s="6" t="inlineStr">
        <is>
          <t>1. Chờ quá 15 phút không thanh toán
2. Kích hoạt lệnh giải phóng chỗ hết hạn (`releaseExpiredHolds`)</t>
        </is>
      </c>
      <c r="H33" s="6" t="inlineStr">
        <is>
          <t>Đơn chuyển sang `expired`, `seats_held` giảm 2, chỗ được hoàn trả về kho tồn khả dụng</t>
        </is>
      </c>
      <c r="I33" s="6" t="inlineStr">
        <is>
          <t>Tác vụ tự động chạy chuẩn xác, chỗ được hoàn về kho</t>
        </is>
      </c>
      <c r="J33" s="4" t="inlineStr">
        <is>
          <t>Đạt</t>
        </is>
      </c>
      <c r="K33" s="4" t="inlineStr">
        <is>
          <t>Rất cao</t>
        </is>
      </c>
      <c r="L33" s="6" t="inlineStr">
        <is>
          <t>V5 - Kiểm thử</t>
        </is>
      </c>
      <c r="M33" s="6" t="inlineStr">
        <is>
          <t>Kiểm thử trực tuyến / Local</t>
        </is>
      </c>
    </row>
    <row r="34" ht="32" customHeight="1">
      <c r="A34" s="7" t="inlineStr">
        <is>
          <t>TC-BOOK-004</t>
        </is>
      </c>
      <c r="B34" s="7" t="inlineStr">
        <is>
          <t>BOOK</t>
        </is>
      </c>
      <c r="C34" s="9" t="inlineStr">
        <is>
          <t>Luồng ngoại lệ</t>
        </is>
      </c>
      <c r="D34" s="8" t="inlineStr">
        <is>
          <t>Kiểm chứng xử lý tranh chấp đồng thời khi 2 phiên cùng đặt 1 chỗ cuối cùng</t>
        </is>
      </c>
      <c r="E34" s="8" t="inlineStr">
        <is>
          <t>Cơ sở ID #15 ngày 2026-12-05 chỉ còn đúng 1 chỗ khả dụng (`seats_total - seats_held - seats_sold = 1`)</t>
        </is>
      </c>
      <c r="F34" s="8" t="inlineStr">
        <is>
          <t>Trình duyệt A (Khách 1) và Trình duyệt B (Khách 2) cùng đặt 1 chỗ trong cùng 1 giây</t>
        </is>
      </c>
      <c r="G34" s="8" t="inlineStr">
        <is>
          <t>1. Mở 2 trình duyệt song song
2. Bấm nút 'Đặt chỗ' trên cả 2 trình duyệt trong cùng 1 giây</t>
        </is>
      </c>
      <c r="H34" s="8" t="inlineStr">
        <is>
          <t>Giao dịch DB dùng khóa hàng (`SELECT ... FOR UPDATE`), chỉ 1 phiên thành công, phiên còn lại báo 'Chỉ còn 0 chỗ khả dụng'</t>
        </is>
      </c>
      <c r="I34" s="8" t="inlineStr">
        <is>
          <t>Xử lý tranh chấp chuẩn xác, không bị đặt vượt sức chứa (overbooking)</t>
        </is>
      </c>
      <c r="J34" s="7" t="inlineStr">
        <is>
          <t>Đạt</t>
        </is>
      </c>
      <c r="K34" s="7" t="inlineStr">
        <is>
          <t>Rất cao</t>
        </is>
      </c>
      <c r="L34" s="8" t="inlineStr">
        <is>
          <t>V5 - Kiểm thử</t>
        </is>
      </c>
      <c r="M34" s="8" t="inlineStr">
        <is>
          <t>Kiểm thử trực tuyến / Local</t>
        </is>
      </c>
    </row>
    <row r="35" ht="32" customHeight="1">
      <c r="A35" s="4" t="inlineStr">
        <is>
          <t>TC-BOOK-005</t>
        </is>
      </c>
      <c r="B35" s="4" t="inlineStr">
        <is>
          <t>BOOK</t>
        </is>
      </c>
      <c r="C35" s="9" t="inlineStr">
        <is>
          <t>Luồng ngoại lệ</t>
        </is>
      </c>
      <c r="D35" s="6" t="inlineStr">
        <is>
          <t>Kiểm chứng từ chối đặt chỗ khi số lượng khách vượt quá chỗ còn lại</t>
        </is>
      </c>
      <c r="E35" s="6" t="inlineStr">
        <is>
          <t>Cơ sở ID #18 ngày 2026-12-10 chỉ còn 3 chỗ trống</t>
        </is>
      </c>
      <c r="F35" s="6" t="inlineStr">
        <is>
          <t>pax: 5 (vượt quá 3 chỗ trống)</t>
        </is>
      </c>
      <c r="G35" s="6" t="inlineStr">
        <is>
          <t>1. Chọn số khách = 5
2. Bấm 'Đặt chỗ'</t>
        </is>
      </c>
      <c r="H35" s="6" t="inlineStr">
        <is>
          <t>Hệ thống từ chối, báo lỗi: 'Chỉ còn 3 chỗ khả dụng cho ngày 2026-12-10.'</t>
        </is>
      </c>
      <c r="I35" s="6" t="inlineStr">
        <is>
          <t>Từ chối thành công, không tạo đơn rác</t>
        </is>
      </c>
      <c r="J35" s="4" t="inlineStr">
        <is>
          <t>Đạt</t>
        </is>
      </c>
      <c r="K35" s="4" t="inlineStr">
        <is>
          <t>Cao</t>
        </is>
      </c>
      <c r="L35" s="6" t="inlineStr">
        <is>
          <t>V5 - Kiểm thử</t>
        </is>
      </c>
      <c r="M35" s="6" t="inlineStr">
        <is>
          <t>Kiểm thử trực tuyến / Local</t>
        </is>
      </c>
    </row>
    <row r="36" ht="32" customHeight="1">
      <c r="A36" s="7" t="inlineStr">
        <is>
          <t>TC-BOOK-006</t>
        </is>
      </c>
      <c r="B36" s="7" t="inlineStr">
        <is>
          <t>BOOK</t>
        </is>
      </c>
      <c r="C36" s="9" t="inlineStr">
        <is>
          <t>Luồng ngoại lệ</t>
        </is>
      </c>
      <c r="D36" s="8" t="inlineStr">
        <is>
          <t>Kiểm chứng từ chối đặt chỗ vào ngày trong quá khứ</t>
        </is>
      </c>
      <c r="E36" s="8" t="inlineStr">
        <is>
          <t>Đang ở biểu mẫu đặt chỗ</t>
        </is>
      </c>
      <c r="F36" s="8" t="inlineStr">
        <is>
          <t>service_date: 2020-01-01 (ngày quá khứ)</t>
        </is>
      </c>
      <c r="G36" s="8" t="inlineStr">
        <is>
          <t>1. Nhập ngày trong quá khứ
2. Bấm 'Đặt chỗ'</t>
        </is>
      </c>
      <c r="H36" s="8" t="inlineStr">
        <is>
          <t>Máy chủ kiểm tra ràng buộc `after:today`, trả về lỗi 'Ngày khởi hành phải sau ngày hôm nay.'</t>
        </is>
      </c>
      <c r="I36" s="8" t="inlineStr">
        <is>
          <t>Máy chủ chặn lỗi 422 thành công</t>
        </is>
      </c>
      <c r="J36" s="7" t="inlineStr">
        <is>
          <t>Đạt</t>
        </is>
      </c>
      <c r="K36" s="7" t="inlineStr">
        <is>
          <t>Cao</t>
        </is>
      </c>
      <c r="L36" s="8" t="inlineStr">
        <is>
          <t>V5 - Kiểm thử</t>
        </is>
      </c>
      <c r="M36" s="8" t="inlineStr">
        <is>
          <t>Kiểm thử trực tuyến / Local</t>
        </is>
      </c>
    </row>
    <row r="37" ht="32" customHeight="1">
      <c r="A37" s="4" t="inlineStr">
        <is>
          <t>TC-BOOK-007</t>
        </is>
      </c>
      <c r="B37" s="4" t="inlineStr">
        <is>
          <t>BOOK</t>
        </is>
      </c>
      <c r="C37" s="9" t="inlineStr">
        <is>
          <t>Luồng ngoại lệ</t>
        </is>
      </c>
      <c r="D37" s="6" t="inlineStr">
        <is>
          <t>Kiểm chứng từ chối đặt chỗ với sản phẩm/món ăn đã bị ẩn/ngừng bán (`status = draft/archived`)</t>
        </is>
      </c>
      <c r="E37" s="6" t="inlineStr">
        <is>
          <t>Món ăn ID #99 có `status = archived` trong CSDL</t>
        </is>
      </c>
      <c r="F37" s="6" t="inlineStr">
        <is>
          <t>Request: POST /api/v1/bookings với product_id = 99</t>
        </is>
      </c>
      <c r="G37" s="6" t="inlineStr">
        <is>
          <t>1. Cố tình gửi request API đặt chỗ món ăn đã ngừng bán</t>
        </is>
      </c>
      <c r="H37" s="6" t="inlineStr">
        <is>
          <t>Máy chủ kiểm tra `Rule::exists('products', 'id')-&gt;where('status', 'published')`, trả về lỗi validation 422</t>
        </is>
      </c>
      <c r="I37" s="6" t="inlineStr">
        <is>
          <t>Chặn thành công món ăn ẩn</t>
        </is>
      </c>
      <c r="J37" s="4" t="inlineStr">
        <is>
          <t>Đạt</t>
        </is>
      </c>
      <c r="K37" s="4" t="inlineStr">
        <is>
          <t>Cao</t>
        </is>
      </c>
      <c r="L37" s="6" t="inlineStr">
        <is>
          <t>V5 - Kiểm thử</t>
        </is>
      </c>
      <c r="M37" s="6" t="inlineStr">
        <is>
          <t>Kiểm thử trực tuyến / Local</t>
        </is>
      </c>
    </row>
    <row r="38" ht="32" customHeight="1">
      <c r="A38" s="7" t="inlineStr">
        <is>
          <t>TC-BOOK-008</t>
        </is>
      </c>
      <c r="B38" s="7" t="inlineStr">
        <is>
          <t>BOOK</t>
        </is>
      </c>
      <c r="C38" s="10" t="inlineStr">
        <is>
          <t>Giá trị biên</t>
        </is>
      </c>
      <c r="D38" s="8" t="inlineStr">
        <is>
          <t>Kiểm chứng đặt chỗ với số khách tối thiểu (`pax = 1`)</t>
        </is>
      </c>
      <c r="E38" s="8" t="inlineStr">
        <is>
          <t>Món ăn/Cơ sở còn chỗ trống</t>
        </is>
      </c>
      <c r="F38" s="8" t="inlineStr">
        <is>
          <t>pax: 1</t>
        </is>
      </c>
      <c r="G38" s="8" t="inlineStr">
        <is>
          <t>1. Chọn số khách = 1
2. Bấm Đặt chỗ</t>
        </is>
      </c>
      <c r="H38" s="8" t="inlineStr">
        <is>
          <t>Hệ thống tiếp nhận hợp lệ, tính tổng tiền = unit_price * 1</t>
        </is>
      </c>
      <c r="I38" s="8" t="inlineStr">
        <is>
          <t>Đặt chỗ thành công 1 khách</t>
        </is>
      </c>
      <c r="J38" s="7" t="inlineStr">
        <is>
          <t>Đạt</t>
        </is>
      </c>
      <c r="K38" s="7" t="inlineStr">
        <is>
          <t>Trung bình</t>
        </is>
      </c>
      <c r="L38" s="8" t="inlineStr">
        <is>
          <t>V5 - Kiểm thử</t>
        </is>
      </c>
      <c r="M38" s="8" t="inlineStr">
        <is>
          <t>Kiểm thử trực tuyến / Local</t>
        </is>
      </c>
    </row>
    <row r="39" ht="32" customHeight="1">
      <c r="A39" s="4" t="inlineStr">
        <is>
          <t>TC-BOOK-009</t>
        </is>
      </c>
      <c r="B39" s="4" t="inlineStr">
        <is>
          <t>BOOK</t>
        </is>
      </c>
      <c r="C39" s="10" t="inlineStr">
        <is>
          <t>Giá trị biên</t>
        </is>
      </c>
      <c r="D39" s="6" t="inlineStr">
        <is>
          <t>Kiểm chứng đặt chỗ với số khách tối đa cho phép 1 lần đặt (`pax = 30`)</t>
        </is>
      </c>
      <c r="E39" s="6" t="inlineStr">
        <is>
          <t>Cơ sở còn &gt; 30 chỗ trống</t>
        </is>
      </c>
      <c r="F39" s="6" t="inlineStr">
        <is>
          <t>pax: 30</t>
        </is>
      </c>
      <c r="G39" s="6" t="inlineStr">
        <is>
          <t>1. Chọn số khách = 30
2. Bấm Đặt chỗ</t>
        </is>
      </c>
      <c r="H39" s="6" t="inlineStr">
        <is>
          <t>Hệ thống tiếp nhận hợp lệ trong giới hạn `max:30`</t>
        </is>
      </c>
      <c r="I39" s="6" t="inlineStr">
        <is>
          <t>Đặt chỗ thành công 30 khách</t>
        </is>
      </c>
      <c r="J39" s="4" t="inlineStr">
        <is>
          <t>Đạt</t>
        </is>
      </c>
      <c r="K39" s="4" t="inlineStr">
        <is>
          <t>Trung bình</t>
        </is>
      </c>
      <c r="L39" s="6" t="inlineStr">
        <is>
          <t>V5 - Kiểm thử</t>
        </is>
      </c>
      <c r="M39" s="6" t="inlineStr">
        <is>
          <t>Kiểm thử trực tuyến / Local</t>
        </is>
      </c>
    </row>
    <row r="40" ht="32" customHeight="1">
      <c r="A40" s="7" t="inlineStr">
        <is>
          <t>TC-BOOK-0010</t>
        </is>
      </c>
      <c r="B40" s="7" t="inlineStr">
        <is>
          <t>BOOK</t>
        </is>
      </c>
      <c r="C40" s="10" t="inlineStr">
        <is>
          <t>Giá trị biên</t>
        </is>
      </c>
      <c r="D40" s="8" t="inlineStr">
        <is>
          <t>Kiểm chứng đặt chỗ vào ngày xa nhất cho phép (đúng +365 ngày so với hiện tại)</t>
        </is>
      </c>
      <c r="E40" s="8" t="inlineStr">
        <is>
          <t>Cơ sở mở lịch khả dụng xa</t>
        </is>
      </c>
      <c r="F40" s="8" t="inlineStr">
        <is>
          <t>service_date: Tương lai đúng 365 ngày</t>
        </is>
      </c>
      <c r="G40" s="8" t="inlineStr">
        <is>
          <t>1. Chọn ngày đúng +365 ngày
2. Bấm Đặt chỗ</t>
        </is>
      </c>
      <c r="H40" s="8" t="inlineStr">
        <is>
          <t>Hệ thống chấp nhận hợp lệ theo ràng buộc `before:+1 year`</t>
        </is>
      </c>
      <c r="I40" s="8" t="inlineStr">
        <is>
          <t>Đặt chỗ thành công ngày ranh giới 1 năm</t>
        </is>
      </c>
      <c r="J40" s="7" t="inlineStr">
        <is>
          <t>Đạt</t>
        </is>
      </c>
      <c r="K40" s="7" t="inlineStr">
        <is>
          <t>Thấp</t>
        </is>
      </c>
      <c r="L40" s="8" t="inlineStr">
        <is>
          <t>V5 - Kiểm thử</t>
        </is>
      </c>
      <c r="M40" s="8" t="inlineStr">
        <is>
          <t>Kiểm thử trực tuyến / Local</t>
        </is>
      </c>
    </row>
    <row r="41" ht="32" customHeight="1">
      <c r="A41" s="4" t="inlineStr">
        <is>
          <t>TC-PAY-001</t>
        </is>
      </c>
      <c r="B41" s="4" t="inlineStr">
        <is>
          <t>PAY</t>
        </is>
      </c>
      <c r="C41" s="5" t="inlineStr">
        <is>
          <t>Luồng thuận</t>
        </is>
      </c>
      <c r="D41" s="6" t="inlineStr">
        <is>
          <t>Kiểm chứng thanh toán đơn đặt thành công trên môi trường Sandbox</t>
        </is>
      </c>
      <c r="E41" s="6" t="inlineStr">
        <is>
          <t>Đơn đặt ID #50 ở trạng thái `pending_payment`</t>
        </is>
      </c>
      <c r="F41" s="6" t="inlineStr">
        <is>
          <t>Cổng thanh toán Sandbox, nhập OTP thử nghiệm 123456</t>
        </is>
      </c>
      <c r="G41" s="6" t="inlineStr">
        <is>
          <t>1. Mở trang thanh toán đơn #50
2. Nhập thông tin thẻ Sandbox
3. Xác nhận thanh toán</t>
        </is>
      </c>
      <c r="H41" s="6" t="inlineStr">
        <is>
          <t>Đơn hàng chuyển sang `confirmed`, `seats_held` giảm và `seats_sold` tăng tương ứng, tạo bản ghi trong `payments`</t>
        </is>
      </c>
      <c r="I41" s="6" t="inlineStr">
        <is>
          <t>Thanh toán Sandbox thành công, đơn chuyển trạng thái `confirmed`</t>
        </is>
      </c>
      <c r="J41" s="4" t="inlineStr">
        <is>
          <t>Đạt</t>
        </is>
      </c>
      <c r="K41" s="4" t="inlineStr">
        <is>
          <t>Rất cao</t>
        </is>
      </c>
      <c r="L41" s="6" t="inlineStr">
        <is>
          <t>V5 - Kiểm thử</t>
        </is>
      </c>
      <c r="M41" s="6" t="inlineStr">
        <is>
          <t>Kiểm thử trực tuyến / Local</t>
        </is>
      </c>
    </row>
    <row r="42" ht="32" customHeight="1">
      <c r="A42" s="7" t="inlineStr">
        <is>
          <t>TC-PAY-002</t>
        </is>
      </c>
      <c r="B42" s="7" t="inlineStr">
        <is>
          <t>PAY</t>
        </is>
      </c>
      <c r="C42" s="5" t="inlineStr">
        <is>
          <t>Luồng thuận</t>
        </is>
      </c>
      <c r="D42" s="8" t="inlineStr">
        <is>
          <t>Kiểm chứng hệ thống xử lý Webhook/Callback thanh toán tự động</t>
        </is>
      </c>
      <c r="E42" s="8" t="inlineStr">
        <is>
          <t>Đơn hàng ID #51 đang chờ thanh toán</t>
        </is>
      </c>
      <c r="F42" s="8" t="inlineStr">
        <is>
          <t>Request Webhook giả lập từ cổng Sandbox gửi tới `/api/v1/payments/webhook`</t>
        </is>
      </c>
      <c r="G42" s="8" t="inlineStr">
        <is>
          <t>1. Gửi request Webhook chứa `txn_ref` và `status = paid` tới server</t>
        </is>
      </c>
      <c r="H42" s="8" t="inlineStr">
        <is>
          <t>Hệ thống xác thực chữ ký Webhook, cập nhật đơn hàng sang `confirmed` bất đồng bộ</t>
        </is>
      </c>
      <c r="I42" s="8" t="inlineStr">
        <is>
          <t>Xử lý Webhook thành công, cập nhật CSDL chính xác</t>
        </is>
      </c>
      <c r="J42" s="7" t="inlineStr">
        <is>
          <t>Đạt</t>
        </is>
      </c>
      <c r="K42" s="7" t="inlineStr">
        <is>
          <t>Rất cao</t>
        </is>
      </c>
      <c r="L42" s="8" t="inlineStr">
        <is>
          <t>V5 - Kiểm thử</t>
        </is>
      </c>
      <c r="M42" s="8" t="inlineStr">
        <is>
          <t>Kiểm thử trực tuyến / Local</t>
        </is>
      </c>
    </row>
    <row r="43" ht="32" customHeight="1">
      <c r="A43" s="4" t="inlineStr">
        <is>
          <t>TC-PAY-003</t>
        </is>
      </c>
      <c r="B43" s="4" t="inlineStr">
        <is>
          <t>PAY</t>
        </is>
      </c>
      <c r="C43" s="9" t="inlineStr">
        <is>
          <t>Luồng ngoại lệ</t>
        </is>
      </c>
      <c r="D43" s="6" t="inlineStr">
        <is>
          <t>Kiểm chứng Khách hàng hủy thao tác giữa chừng tại cổng thanh toán Sandbox</t>
        </is>
      </c>
      <c r="E43" s="6" t="inlineStr">
        <is>
          <t>Đang ở giao diện cổng Sandbox</t>
        </is>
      </c>
      <c r="F43" s="6" t="inlineStr">
        <is>
          <t>Hành động: Bấm nút 'Hủy giao dịch / Quay lại cửa hàng'</t>
        </is>
      </c>
      <c r="G43" s="6" t="inlineStr">
        <is>
          <t>1. Tại trang Sandbox, bấm Hủy giao dịch</t>
        </is>
      </c>
      <c r="H43" s="6" t="inlineStr">
        <is>
          <t>Hệ thống điều hướng về trang chi tiết đơn, trạng thái đơn giữ nguyên `pending_payment`, chỗ vẫn giữ trong thời hạn</t>
        </is>
      </c>
      <c r="I43" s="6" t="inlineStr">
        <is>
          <t>Xử lý hủy giao dịch mượt mà, không trừ tồn sai</t>
        </is>
      </c>
      <c r="J43" s="4" t="inlineStr">
        <is>
          <t>Đạt</t>
        </is>
      </c>
      <c r="K43" s="4" t="inlineStr">
        <is>
          <t>Cao</t>
        </is>
      </c>
      <c r="L43" s="6" t="inlineStr">
        <is>
          <t>V5 - Kiểm thử</t>
        </is>
      </c>
      <c r="M43" s="6" t="inlineStr">
        <is>
          <t>Kiểm thử trực tuyến / Local</t>
        </is>
      </c>
    </row>
    <row r="44" ht="32" customHeight="1">
      <c r="A44" s="7" t="inlineStr">
        <is>
          <t>TC-PAY-004</t>
        </is>
      </c>
      <c r="B44" s="7" t="inlineStr">
        <is>
          <t>PAY</t>
        </is>
      </c>
      <c r="C44" s="9" t="inlineStr">
        <is>
          <t>Luồng ngoại lệ</t>
        </is>
      </c>
      <c r="D44" s="8" t="inlineStr">
        <is>
          <t>Kiểm chứng thanh toán thất bại do thẻ Sandbox không đủ số dư</t>
        </is>
      </c>
      <c r="E44" s="8" t="inlineStr">
        <is>
          <t>Đang ở trang Sandbox</t>
        </is>
      </c>
      <c r="F44" s="8" t="inlineStr">
        <is>
          <t>Thẻ Sandbox thử nghiệm lỗi: `CARD_EXPIRED` hoặc `INSUFFICIENT_FUNDS`</t>
        </is>
      </c>
      <c r="G44" s="8" t="inlineStr">
        <is>
          <t>1. Nhập thẻ thử nghiệm báo lỗi số dư
2. Bấm Thanh toán</t>
        </is>
      </c>
      <c r="H44" s="8" t="inlineStr">
        <is>
          <t>Cổng báo lỗi, hệ thống ghi nhận giao dịch `failed`, đơn giữ nguyên `pending_payment` cho phép khách thử lại</t>
        </is>
      </c>
      <c r="I44" s="8" t="inlineStr">
        <is>
          <t>Ghi nhận lỗi thanh toán chính xác, hiển thị hướng dẫn thử lại</t>
        </is>
      </c>
      <c r="J44" s="7" t="inlineStr">
        <is>
          <t>Đạt</t>
        </is>
      </c>
      <c r="K44" s="7" t="inlineStr">
        <is>
          <t>Cao</t>
        </is>
      </c>
      <c r="L44" s="8" t="inlineStr">
        <is>
          <t>V5 - Kiểm thử</t>
        </is>
      </c>
      <c r="M44" s="8" t="inlineStr">
        <is>
          <t>Kiểm thử trực tuyến / Local</t>
        </is>
      </c>
    </row>
    <row r="45" ht="32" customHeight="1">
      <c r="A45" s="4" t="inlineStr">
        <is>
          <t>TC-PAY-005</t>
        </is>
      </c>
      <c r="B45" s="4" t="inlineStr">
        <is>
          <t>PAY</t>
        </is>
      </c>
      <c r="C45" s="9" t="inlineStr">
        <is>
          <t>Luồng ngoại lệ</t>
        </is>
      </c>
      <c r="D45" s="6" t="inlineStr">
        <is>
          <t>Kiểm chứng từ chối xác nhận thanh toán trùng lặp cho đơn đã `confirmed`</t>
        </is>
      </c>
      <c r="E45" s="6" t="inlineStr">
        <is>
          <t>Đơn hàng ID #50 đã ở trạng thái `confirmed`</t>
        </is>
      </c>
      <c r="F45" s="6" t="inlineStr">
        <is>
          <t>Gửi lại request confirm thanh toán cho đơn #50</t>
        </is>
      </c>
      <c r="G45" s="6" t="inlineStr">
        <is>
          <t>1. Cố tình gửi lại request xác nhận thanh toán lần 2</t>
        </is>
      </c>
      <c r="H45" s="6" t="inlineStr">
        <is>
          <t>Máy chủ chặn lại, bắn ra ngoại lệ 'Đơn hàng không ở trạng thái chờ thanh toán', không cộng dồn `seats_sold` lần 2</t>
        </is>
      </c>
      <c r="I45" s="6" t="inlineStr">
        <is>
          <t>Chặn giao dịch trùng lặp an toàn</t>
        </is>
      </c>
      <c r="J45" s="4" t="inlineStr">
        <is>
          <t>Đạt</t>
        </is>
      </c>
      <c r="K45" s="4" t="inlineStr">
        <is>
          <t>Rất cao</t>
        </is>
      </c>
      <c r="L45" s="6" t="inlineStr">
        <is>
          <t>V5 - Kiểm thử</t>
        </is>
      </c>
      <c r="M45" s="6" t="inlineStr">
        <is>
          <t>Kiểm thử trực tuyến / Local</t>
        </is>
      </c>
    </row>
    <row r="46" ht="32" customHeight="1">
      <c r="A46" s="7" t="inlineStr">
        <is>
          <t>TC-PAY-006</t>
        </is>
      </c>
      <c r="B46" s="7" t="inlineStr">
        <is>
          <t>PAY</t>
        </is>
      </c>
      <c r="C46" s="10" t="inlineStr">
        <is>
          <t>Giá trị biên</t>
        </is>
      </c>
      <c r="D46" s="8" t="inlineStr">
        <is>
          <t>Kiểm chứng thanh toán đơn đặt với tổng số tiền có phần lẻ lẻ (ví dụ 135.500đ)</t>
        </is>
      </c>
      <c r="E46" s="8" t="inlineStr">
        <is>
          <t>Đơn đặt hàng có tổng tiền 135,500 VNĐ</t>
        </is>
      </c>
      <c r="F46" s="8" t="inlineStr">
        <is>
          <t>Thanh toán thành công</t>
        </is>
      </c>
      <c r="G46" s="8" t="inlineStr">
        <is>
          <t>1. Tiến hành thanh toán đơn lẻ tiền</t>
        </is>
      </c>
      <c r="H46" s="8" t="inlineStr">
        <is>
          <t>Cổng Sandbox và CSDL lưu trữ chính xác số tiền `135500.00` kiểu DECIMAL(14,2), không sai lệch sai số số thực</t>
        </is>
      </c>
      <c r="I46" s="8" t="inlineStr">
        <is>
          <t>Lưu trữ chuẩn xác kiểu DECIMAL</t>
        </is>
      </c>
      <c r="J46" s="7" t="inlineStr">
        <is>
          <t>Đạt</t>
        </is>
      </c>
      <c r="K46" s="7" t="inlineStr">
        <is>
          <t>Trung bình</t>
        </is>
      </c>
      <c r="L46" s="8" t="inlineStr">
        <is>
          <t>V5 - Kiểm thử</t>
        </is>
      </c>
      <c r="M46" s="8" t="inlineStr">
        <is>
          <t>Kiểm thử trực tuyến / Local</t>
        </is>
      </c>
    </row>
    <row r="47" ht="32" customHeight="1">
      <c r="A47" s="4" t="inlineStr">
        <is>
          <t>TC-ORDR-001</t>
        </is>
      </c>
      <c r="B47" s="4" t="inlineStr">
        <is>
          <t>ORDR</t>
        </is>
      </c>
      <c r="C47" s="5" t="inlineStr">
        <is>
          <t>Luồng thuận</t>
        </is>
      </c>
      <c r="D47" s="6" t="inlineStr">
        <is>
          <t>Kiểm chứng Khách hàng xem danh sách và chi tiết đơn đặt của chính mình</t>
        </is>
      </c>
      <c r="E47" s="6" t="inlineStr">
        <is>
          <t>Đã đăng nhập tài khoản Khách A</t>
        </is>
      </c>
      <c r="F47" s="6" t="inlineStr">
        <is>
          <t>URL: /khach-hang/don-hang</t>
        </is>
      </c>
      <c r="G47" s="6" t="inlineStr">
        <is>
          <t>1. Vào trang Quản lý đơn hàng
2. Nhấp xem chi tiết đơn hàng #BK202612001</t>
        </is>
      </c>
      <c r="H47" s="6" t="inlineStr">
        <is>
          <t>Hiển thị chính xác danh sách các đơn do Khách A đặt, chi tiết gồm món ăn, ngày khởi hành, mã QR/mã đặt chỗ</t>
        </is>
      </c>
      <c r="I47" s="6" t="inlineStr">
        <is>
          <t>Hiển thị thông tin đơn chính xác</t>
        </is>
      </c>
      <c r="J47" s="4" t="inlineStr">
        <is>
          <t>Đạt</t>
        </is>
      </c>
      <c r="K47" s="4" t="inlineStr">
        <is>
          <t>Cao</t>
        </is>
      </c>
      <c r="L47" s="6" t="inlineStr">
        <is>
          <t>V5 - Kiểm thử</t>
        </is>
      </c>
      <c r="M47" s="6" t="inlineStr">
        <is>
          <t>Kiểm thử trực tuyến / Local</t>
        </is>
      </c>
    </row>
    <row r="48" ht="32" customHeight="1">
      <c r="A48" s="7" t="inlineStr">
        <is>
          <t>TC-ORDR-002</t>
        </is>
      </c>
      <c r="B48" s="7" t="inlineStr">
        <is>
          <t>ORDR</t>
        </is>
      </c>
      <c r="C48" s="5" t="inlineStr">
        <is>
          <t>Luồng thuận</t>
        </is>
      </c>
      <c r="D48" s="8" t="inlineStr">
        <is>
          <t>Kiểm chứng Khách hàng hủy đơn đặt trong thời hạn cho phép</t>
        </is>
      </c>
      <c r="E48" s="8" t="inlineStr">
        <is>
          <t>Đơn hàng #BK202612002 trạng thái `confirmed` có ngày khởi hành sau 5 ngày (được phép hủy)</t>
        </is>
      </c>
      <c r="F48" s="8" t="inlineStr">
        <is>
          <t>Hành động: Bấm nút 'Hủy đơn hàng'</t>
        </is>
      </c>
      <c r="G48" s="8" t="inlineStr">
        <is>
          <t>1. Mở chi tiết đơn hàng
2. Bấm 'Hủy đơn'
3. Nhập lý do hủy và xác nhận</t>
        </is>
      </c>
      <c r="H48" s="8" t="inlineStr">
        <is>
          <t>Trạng thái đơn chuyển sang `cancelled`, `seats_sold` giảm, chỗ trả về kho khả dụng, ghi nhật ký `booking_status_logs`</t>
        </is>
      </c>
      <c r="I48" s="8" t="inlineStr">
        <is>
          <t>Hủy đơn thành công, hoàn chỗ về CSDL</t>
        </is>
      </c>
      <c r="J48" s="7" t="inlineStr">
        <is>
          <t>Đạt</t>
        </is>
      </c>
      <c r="K48" s="7" t="inlineStr">
        <is>
          <t>Rất cao</t>
        </is>
      </c>
      <c r="L48" s="8" t="inlineStr">
        <is>
          <t>V5 - Kiểm thử</t>
        </is>
      </c>
      <c r="M48" s="8" t="inlineStr">
        <is>
          <t>Kiểm thử trực tuyến / Local</t>
        </is>
      </c>
    </row>
    <row r="49" ht="32" customHeight="1">
      <c r="A49" s="4" t="inlineStr">
        <is>
          <t>TC-ORDR-003</t>
        </is>
      </c>
      <c r="B49" s="4" t="inlineStr">
        <is>
          <t>ORDR</t>
        </is>
      </c>
      <c r="C49" s="9" t="inlineStr">
        <is>
          <t>Luồng ngoại lệ</t>
        </is>
      </c>
      <c r="D49" s="6" t="inlineStr">
        <is>
          <t>Kiểm chứng từ chối hủy đơn khi đã sát giờ/quá thời hạn hủy theo chính sách</t>
        </is>
      </c>
      <c r="E49" s="6" t="inlineStr">
        <is>
          <t>Đơn hàng có ngày khởi hành là ngày hôm nay (vi phạm chính sách hủy trước 24h)</t>
        </is>
      </c>
      <c r="F49" s="6" t="inlineStr">
        <is>
          <t>Hành động: Cố gắng gửi request hủy đơn</t>
        </is>
      </c>
      <c r="G49" s="6" t="inlineStr">
        <is>
          <t>1. Mở đơn hàng sát ngày khởi hành
2. Bấm 'Hủy đơn'</t>
        </is>
      </c>
      <c r="H49" s="6" t="inlineStr">
        <is>
          <t>Nút Hủy bị ẩn hoặc máy chủ trả về lỗi 403: 'Đã quá thời hạn hủy đơn theo chính sách của cơ sở.'</t>
        </is>
      </c>
      <c r="I49" s="6" t="inlineStr">
        <is>
          <t>Chặn hủy đơn quá hạn chính xác</t>
        </is>
      </c>
      <c r="J49" s="4" t="inlineStr">
        <is>
          <t>Đạt</t>
        </is>
      </c>
      <c r="K49" s="4" t="inlineStr">
        <is>
          <t>Cao</t>
        </is>
      </c>
      <c r="L49" s="6" t="inlineStr">
        <is>
          <t>V5 - Kiểm thử</t>
        </is>
      </c>
      <c r="M49" s="6" t="inlineStr">
        <is>
          <t>Kiểm thử trực tuyến / Local</t>
        </is>
      </c>
    </row>
    <row r="50" ht="32" customHeight="1">
      <c r="A50" s="7" t="inlineStr">
        <is>
          <t>TC-ORDR-004</t>
        </is>
      </c>
      <c r="B50" s="7" t="inlineStr">
        <is>
          <t>ORDR</t>
        </is>
      </c>
      <c r="C50" s="9" t="inlineStr">
        <is>
          <t>Luồng ngoại lệ</t>
        </is>
      </c>
      <c r="D50" s="8" t="inlineStr">
        <is>
          <t>Kiểm chứng từ chối thực hiện hoàn tiền cho đơn chưa thanh toán</t>
        </is>
      </c>
      <c r="E50" s="8" t="inlineStr">
        <is>
          <t>Đơn hàng đang ở trạng thái `pending_payment`</t>
        </is>
      </c>
      <c r="F50" s="8" t="inlineStr">
        <is>
          <t>Hành động: Gọi hàm `refund()` trong nghiệp vụ</t>
        </is>
      </c>
      <c r="G50" s="8" t="inlineStr">
        <is>
          <t>1. Gọi chức năng hoàn tiền cho đơn chưa trả tiền</t>
        </is>
      </c>
      <c r="H50" s="8" t="inlineStr">
        <is>
          <t>Máy chủ từ chối, báo lỗi 'Không thể hoàn tiền cho đơn chưa thanh toán', trạng thái đơn giữ nguyên</t>
        </is>
      </c>
      <c r="I50" s="8" t="inlineStr">
        <is>
          <t>Từ chối hoàn tiền chính xác</t>
        </is>
      </c>
      <c r="J50" s="7" t="inlineStr">
        <is>
          <t>Đạt</t>
        </is>
      </c>
      <c r="K50" s="7" t="inlineStr">
        <is>
          <t>Cao</t>
        </is>
      </c>
      <c r="L50" s="8" t="inlineStr">
        <is>
          <t>V5 - Kiểm thử</t>
        </is>
      </c>
      <c r="M50" s="8" t="inlineStr">
        <is>
          <t>Kiểm thử trực tuyến / Local</t>
        </is>
      </c>
    </row>
    <row r="51" ht="32" customHeight="1">
      <c r="A51" s="4" t="inlineStr">
        <is>
          <t>TC-ORDR-005</t>
        </is>
      </c>
      <c r="B51" s="4" t="inlineStr">
        <is>
          <t>ORDR</t>
        </is>
      </c>
      <c r="C51" s="9" t="inlineStr">
        <is>
          <t>Luồng ngoại lệ</t>
        </is>
      </c>
      <c r="D51" s="6" t="inlineStr">
        <is>
          <t>Kiểm chứng xem đơn hàng qua URL mã hóa (`Crypt::encryptString`) bị sai token</t>
        </is>
      </c>
      <c r="E51" s="6" t="inlineStr">
        <is>
          <t>URL tra cứu đơn: `/tra-cuu-don?token=INVALID_TOKEN_STRING`</t>
        </is>
      </c>
      <c r="F51" s="6" t="inlineStr">
        <is>
          <t>Token bị sửa đổi hoặc hết hạn</t>
        </is>
      </c>
      <c r="G51" s="6" t="inlineStr">
        <is>
          <t>1. Mở URL tra cứu đơn với token không hợp lệ</t>
        </is>
      </c>
      <c r="H51" s="6" t="inlineStr">
        <is>
          <t>Hệ thống giải mã thất bại (`DecryptException`), trả về lỗi 404 Not Found thân thiện, không lộ vết exception</t>
        </is>
      </c>
      <c r="I51" s="6" t="inlineStr">
        <is>
          <t>Trả về 404 an toàn</t>
        </is>
      </c>
      <c r="J51" s="4" t="inlineStr">
        <is>
          <t>Đạt</t>
        </is>
      </c>
      <c r="K51" s="4" t="inlineStr">
        <is>
          <t>Cao</t>
        </is>
      </c>
      <c r="L51" s="6" t="inlineStr">
        <is>
          <t>V5 - Kiểm thử</t>
        </is>
      </c>
      <c r="M51" s="6" t="inlineStr">
        <is>
          <t>Kiểm thử trực tuyến / Local</t>
        </is>
      </c>
    </row>
    <row r="52" ht="32" customHeight="1">
      <c r="A52" s="7" t="inlineStr">
        <is>
          <t>TC-ORDR-006</t>
        </is>
      </c>
      <c r="B52" s="7" t="inlineStr">
        <is>
          <t>ORDR</t>
        </is>
      </c>
      <c r="C52" s="10" t="inlineStr">
        <is>
          <t>Giá trị biên</t>
        </is>
      </c>
      <c r="D52" s="8" t="inlineStr">
        <is>
          <t>Kiểm chứng chuyển đổi trạng thái đơn đúng chuỗi máy trạng thái (Finite State Machine)</t>
        </is>
      </c>
      <c r="E52" s="8" t="inlineStr">
        <is>
          <t>Đơn hàng bắt đầu từ `draft`</t>
        </is>
      </c>
      <c r="F52" s="8" t="inlineStr">
        <is>
          <t>Sự kiện: hold -&gt; pay -&gt; complete</t>
        </is>
      </c>
      <c r="G52" s="8" t="inlineStr">
        <is>
          <t>1. Kiểm tra thứ tự chuyển trạng thái: draft -&gt; pending_payment -&gt; confirmed -&gt; completed</t>
        </is>
      </c>
      <c r="H52" s="8" t="inlineStr">
        <is>
          <t>Máy trạng thái hoạt động chuẩn xác, không nhảy cóc trạng thái bất hợp lệ (ví dụ draft -&gt; completed)</t>
        </is>
      </c>
      <c r="I52" s="8" t="inlineStr">
        <is>
          <t>Máy trạng thái hoạt động 100% chuẩn xác</t>
        </is>
      </c>
      <c r="J52" s="7" t="inlineStr">
        <is>
          <t>Đạt</t>
        </is>
      </c>
      <c r="K52" s="7" t="inlineStr">
        <is>
          <t>Rất cao</t>
        </is>
      </c>
      <c r="L52" s="8" t="inlineStr">
        <is>
          <t>V5 - Kiểm thử</t>
        </is>
      </c>
      <c r="M52" s="8" t="inlineStr">
        <is>
          <t>Kiểm thử trực tuyến / Local</t>
        </is>
      </c>
    </row>
    <row r="53" ht="32" customHeight="1">
      <c r="A53" s="4" t="inlineStr">
        <is>
          <t>TC-ADMN-001</t>
        </is>
      </c>
      <c r="B53" s="4" t="inlineStr">
        <is>
          <t>ADMN</t>
        </is>
      </c>
      <c r="C53" s="5" t="inlineStr">
        <is>
          <t>Luồng thuận</t>
        </is>
      </c>
      <c r="D53" s="6" t="inlineStr">
        <is>
          <t>Kiểm chứng Bảng điều khiển Quản trị hiển thị 4 chỉ số và 2 biểu đồ thống kê</t>
        </is>
      </c>
      <c r="E53" s="6" t="inlineStr">
        <is>
          <t>Đã đăng nhập vai trò `admin`</t>
        </is>
      </c>
      <c r="F53" s="6" t="inlineStr">
        <is>
          <t>URL: /admin/dashboard</t>
        </is>
      </c>
      <c r="G53" s="6" t="inlineStr">
        <is>
          <t>1. Mở trang Bảng điều khiển Quản trị</t>
        </is>
      </c>
      <c r="H53" s="6" t="inlineStr">
        <is>
          <t>Hiển thị đủ 4 chỉ số (Tổng doanh thu, Số đơn, Số món ăn, Số cơ sở) và 2 biểu đồ (Doanh thu theo tháng, Tỷ lệ lấp chỗ)</t>
        </is>
      </c>
      <c r="I53" s="6" t="inlineStr">
        <is>
          <t>Hiển thị dashboard trực quan, số liệu lấy từ CSDL</t>
        </is>
      </c>
      <c r="J53" s="4" t="inlineStr">
        <is>
          <t>Đạt</t>
        </is>
      </c>
      <c r="K53" s="4" t="inlineStr">
        <is>
          <t>Cao</t>
        </is>
      </c>
      <c r="L53" s="6" t="inlineStr">
        <is>
          <t>V5 - Kiểm thử</t>
        </is>
      </c>
      <c r="M53" s="6" t="inlineStr">
        <is>
          <t>Kiểm thử trực tuyến / Local</t>
        </is>
      </c>
    </row>
    <row r="54" ht="32" customHeight="1">
      <c r="A54" s="7" t="inlineStr">
        <is>
          <t>TC-ADMN-002</t>
        </is>
      </c>
      <c r="B54" s="7" t="inlineStr">
        <is>
          <t>ADMN</t>
        </is>
      </c>
      <c r="C54" s="5" t="inlineStr">
        <is>
          <t>Luồng thuận</t>
        </is>
      </c>
      <c r="D54" s="8" t="inlineStr">
        <is>
          <t>Kiểm chứng Quản trị viên duyệt / từ chối đánh giá món ăn của khách hàng</t>
        </is>
      </c>
      <c r="E54" s="8" t="inlineStr">
        <is>
          <t>Đánh giá ID #10 ở trạng thái `cho_duyet` trong CSDL</t>
        </is>
      </c>
      <c r="F54" s="8" t="inlineStr">
        <is>
          <t>Hành động: Bấm nút 'Duyệt đánh giá'</t>
        </is>
      </c>
      <c r="G54" s="8" t="inlineStr">
        <is>
          <t>1. Mở danh sách đánh giá chờ duyệt
2. Nhấp 'Duyệt'</t>
        </is>
      </c>
      <c r="H54" s="8" t="inlineStr">
        <is>
          <t>Trạng thái đánh giá chuyển sang `da_duyet`, đánh giá xuất hiện công khai trên trang chi tiết món ăn</t>
        </is>
      </c>
      <c r="I54" s="8" t="inlineStr">
        <is>
          <t>Duyệt đánh giá thành công</t>
        </is>
      </c>
      <c r="J54" s="7" t="inlineStr">
        <is>
          <t>Đạt</t>
        </is>
      </c>
      <c r="K54" s="7" t="inlineStr">
        <is>
          <t>Cao</t>
        </is>
      </c>
      <c r="L54" s="8" t="inlineStr">
        <is>
          <t>V5 - Kiểm thử</t>
        </is>
      </c>
      <c r="M54" s="8" t="inlineStr">
        <is>
          <t>Kiểm thử trực tuyến / Local</t>
        </is>
      </c>
    </row>
    <row r="55" ht="32" customHeight="1">
      <c r="A55" s="4" t="inlineStr">
        <is>
          <t>TC-ADMN-003</t>
        </is>
      </c>
      <c r="B55" s="4" t="inlineStr">
        <is>
          <t>ADMN</t>
        </is>
      </c>
      <c r="C55" s="5" t="inlineStr">
        <is>
          <t>Luồng thuận</t>
        </is>
      </c>
      <c r="D55" s="6" t="inlineStr">
        <is>
          <t>Kiểm chứng xuất kết xuất dữ liệu danh sách đơn hàng / món ăn ra file Excel (.xlsx)</t>
        </is>
      </c>
      <c r="E55" s="6" t="inlineStr">
        <is>
          <t>Đang ở trang quản lý đơn hàng Quản trị</t>
        </is>
      </c>
      <c r="F55" s="6" t="inlineStr">
        <is>
          <t>Hành động: Bấm nút 'Xuất Excel'</t>
        </is>
      </c>
      <c r="G55" s="6" t="inlineStr">
        <is>
          <t>1. Nhấp nút 'Xuất file Excel'
2. Mở file .xlsx vừa tải về</t>
        </is>
      </c>
      <c r="H55" s="6" t="inlineStr">
        <is>
          <t>Tải về file Excel chứa đủ danh sách dữ liệu, định dạng cột chuẩn, không lỗi font tiếng Việt</t>
        </is>
      </c>
      <c r="I55" s="6" t="inlineStr">
        <is>
          <t>Xuất file Excel thành công</t>
        </is>
      </c>
      <c r="J55" s="4" t="inlineStr">
        <is>
          <t>Đạt</t>
        </is>
      </c>
      <c r="K55" s="4" t="inlineStr">
        <is>
          <t>Trung bình</t>
        </is>
      </c>
      <c r="L55" s="6" t="inlineStr">
        <is>
          <t>V5 - Kiểm thử</t>
        </is>
      </c>
      <c r="M55" s="6" t="inlineStr">
        <is>
          <t>Kiểm thử trực tuyến / Local</t>
        </is>
      </c>
    </row>
    <row r="56" ht="32" customHeight="1">
      <c r="A56" s="7" t="inlineStr">
        <is>
          <t>TC-ADMN-004</t>
        </is>
      </c>
      <c r="B56" s="7" t="inlineStr">
        <is>
          <t>ADMN</t>
        </is>
      </c>
      <c r="C56" s="9" t="inlineStr">
        <is>
          <t>Luồng ngoại lệ</t>
        </is>
      </c>
      <c r="D56" s="8" t="inlineStr">
        <is>
          <t>Kiểm chứng khóa ngoại chặn xóa Danh mục đang có chứa món ăn liên kết</t>
        </is>
      </c>
      <c r="E56" s="8" t="inlineStr">
        <is>
          <t>Danh mục 'Ẩm thực Hà Nội' (ID #5) đang chứa 10 món ăn</t>
        </is>
      </c>
      <c r="F56" s="8" t="inlineStr">
        <is>
          <t>Hành động: Bấm 'Xóa danh mục #5'</t>
        </is>
      </c>
      <c r="G56" s="8" t="inlineStr">
        <is>
          <t>1. Cố gắng xóa Danh mục ID #5</t>
        </is>
      </c>
      <c r="H56" s="8" t="inlineStr">
        <is>
          <t>Ràng buộc khóa ngoại DB chặn lại hoặc hệ thống báo lỗi: 'Không thể xóa danh mục đang chứa món ăn.'</t>
        </is>
      </c>
      <c r="I56" s="8" t="inlineStr">
        <is>
          <t>Khóa ngoại chặn thành công, CSDL vẹn toàn</t>
        </is>
      </c>
      <c r="J56" s="7" t="inlineStr">
        <is>
          <t>Đạt</t>
        </is>
      </c>
      <c r="K56" s="7" t="inlineStr">
        <is>
          <t>Rất cao</t>
        </is>
      </c>
      <c r="L56" s="8" t="inlineStr">
        <is>
          <t>V5 - Kiểm thử</t>
        </is>
      </c>
      <c r="M56" s="8" t="inlineStr">
        <is>
          <t>Kiểm thử trực tuyến / Local</t>
        </is>
      </c>
    </row>
    <row r="57" ht="32" customHeight="1">
      <c r="A57" s="4" t="inlineStr">
        <is>
          <t>TC-ADMN-005</t>
        </is>
      </c>
      <c r="B57" s="4" t="inlineStr">
        <is>
          <t>ADMN</t>
        </is>
      </c>
      <c r="C57" s="9" t="inlineStr">
        <is>
          <t>Luồng ngoại lệ</t>
        </is>
      </c>
      <c r="D57" s="6" t="inlineStr">
        <is>
          <t>Kiểm chứng từ chối thêm mới Món ăn/Cơ sở khi thiếu thông tin bắt buộc</t>
        </is>
      </c>
      <c r="E57" s="6" t="inlineStr">
        <is>
          <t>Đang ở biểu mẫu Thêm món ăn mới</t>
        </is>
      </c>
      <c r="F57" s="6" t="inlineStr">
        <is>
          <t>Form bỏ trống: ten_mon, vung_mien_id, gia_co_ban</t>
        </is>
      </c>
      <c r="G57" s="6" t="inlineStr">
        <is>
          <t>1. Bỏ trống các trường bắt buộc
2. Bấm 'Lưu món ăn'</t>
        </is>
      </c>
      <c r="H57" s="6" t="inlineStr">
        <is>
          <t>Hệ thống trả về lỗi 422, đánh dấu đỏ các ô bị thiếu kèm thông báo lỗi cụ thể</t>
        </is>
      </c>
      <c r="I57" s="6" t="inlineStr">
        <is>
          <t>Validation phía server chặn chính xác</t>
        </is>
      </c>
      <c r="J57" s="4" t="inlineStr">
        <is>
          <t>Đạt</t>
        </is>
      </c>
      <c r="K57" s="4" t="inlineStr">
        <is>
          <t>Cao</t>
        </is>
      </c>
      <c r="L57" s="6" t="inlineStr">
        <is>
          <t>V5 - Kiểm thử</t>
        </is>
      </c>
      <c r="M57" s="6" t="inlineStr">
        <is>
          <t>Kiểm thử trực tuyến / Local</t>
        </is>
      </c>
    </row>
    <row r="58" ht="32" customHeight="1">
      <c r="A58" s="7" t="inlineStr">
        <is>
          <t>TC-ADMN-006</t>
        </is>
      </c>
      <c r="B58" s="7" t="inlineStr">
        <is>
          <t>ADMN</t>
        </is>
      </c>
      <c r="C58" s="10" t="inlineStr">
        <is>
          <t>Giá trị biên</t>
        </is>
      </c>
      <c r="D58" s="8" t="inlineStr">
        <is>
          <t>Kiểm chứng xem báo cáo thống kê trong khoảng thời gian không có dữ liệu (năm 2010)</t>
        </is>
      </c>
      <c r="E58" s="8" t="inlineStr">
        <is>
          <t>Đang ở trang báo cáo doanh thu</t>
        </is>
      </c>
      <c r="F58" s="8" t="inlineStr">
        <is>
          <t>Thời gian: từ 01/01/2010 đến 31/12/2010</t>
        </is>
      </c>
      <c r="G58" s="8" t="inlineStr">
        <is>
          <t>1. Chọn khoảng thời gian năm 2010
2. Bấm 'Xem báo cáo'</t>
        </is>
      </c>
      <c r="H58" s="8" t="inlineStr">
        <is>
          <t>Hiển thị bảng chỉ số bằng 0, biểu đồ rỗng phẳng, không bị lỗi `Division by zero` hay crash app</t>
        </is>
      </c>
      <c r="I58" s="8" t="inlineStr">
        <is>
          <t>Xử lý báo cáo rỗng an toàn, chỉ số = 0</t>
        </is>
      </c>
      <c r="J58" s="7" t="inlineStr">
        <is>
          <t>Đạt</t>
        </is>
      </c>
      <c r="K58" s="7" t="inlineStr">
        <is>
          <t>Trung bình</t>
        </is>
      </c>
      <c r="L58" s="8" t="inlineStr">
        <is>
          <t>V5 - Kiểm thử</t>
        </is>
      </c>
      <c r="M58" s="8" t="inlineStr">
        <is>
          <t>Kiểm thử trực tuyến / Local</t>
        </is>
      </c>
    </row>
    <row r="59" ht="32" customHeight="1">
      <c r="A59" s="4" t="inlineStr">
        <is>
          <t>TC-PYMD-001</t>
        </is>
      </c>
      <c r="B59" s="4" t="inlineStr">
        <is>
          <t>PYMD</t>
        </is>
      </c>
      <c r="C59" s="5" t="inlineStr">
        <is>
          <t>Luồng thuận</t>
        </is>
      </c>
      <c r="D59" s="6" t="inlineStr">
        <is>
          <t>Kiểm chứng Mô-đun Python gợi ý 6 món ăn tương đồng theo thuật toán TF-IDF + Cosine</t>
        </is>
      </c>
      <c r="E59" s="6" t="inlineStr">
        <is>
          <t>Dịch vụ FastAPI Python đang chạy tại http://127.0.0.1:8001</t>
        </is>
      </c>
      <c r="F59" s="6" t="inlineStr">
        <is>
          <t>Món ăn đang xem: 'Bún chả Hà Nội' (ID #12)</t>
        </is>
      </c>
      <c r="G59" s="6" t="inlineStr">
        <is>
          <t>1. Mở trang chi tiết món 'Bún chả Hà Nội'
2. Quan sát khối 'Món ăn gợi ý liên quan'</t>
        </is>
      </c>
      <c r="H59" s="6" t="inlineStr">
        <is>
          <t>Khối gợi ý hiển thị 6 món ăn ẩm thực Miền Bắc tương đồng (Bún thang, Phở bò, Chả cá...) do Python tính toán</t>
        </is>
      </c>
      <c r="I59" s="6" t="inlineStr">
        <is>
          <t>Hiển thị 6 món gợi ý chính xác, điểm tương đồng &gt; 0.4</t>
        </is>
      </c>
      <c r="J59" s="4" t="inlineStr">
        <is>
          <t>Đạt</t>
        </is>
      </c>
      <c r="K59" s="4" t="inlineStr">
        <is>
          <t>Rất cao</t>
        </is>
      </c>
      <c r="L59" s="6" t="inlineStr">
        <is>
          <t>V5 - Kiểm thử</t>
        </is>
      </c>
      <c r="M59" s="6" t="inlineStr">
        <is>
          <t>Kiểm thử trực tuyến / Local</t>
        </is>
      </c>
    </row>
    <row r="60" ht="32" customHeight="1">
      <c r="A60" s="7" t="inlineStr">
        <is>
          <t>TC-PYMD-002</t>
        </is>
      </c>
      <c r="B60" s="7" t="inlineStr">
        <is>
          <t>PYMD</t>
        </is>
      </c>
      <c r="C60" s="9" t="inlineStr">
        <is>
          <t>Luồng ngoại lệ</t>
        </is>
      </c>
      <c r="D60" s="8" t="inlineStr">
        <is>
          <t>Kiểm chứng phương án dự phòng (Fallback) khi Dịch vụ Python bị ngắt/dừng</t>
        </is>
      </c>
      <c r="E60" s="8" t="inlineStr">
        <is>
          <t>Tắt/Dừng dịch vụ FastAPI Python (`http://127.0.0.1:8001` không phản hồi)</t>
        </is>
      </c>
      <c r="F60" s="8" t="inlineStr">
        <is>
          <t>Mở trang chi tiết món ăn bất kỳ</t>
        </is>
      </c>
      <c r="G60" s="8" t="inlineStr">
        <is>
          <t>1. Dừng terminal chạy Python uvicorn
2. Tải lại trang chi tiết món ăn tại Laravel</t>
        </is>
      </c>
      <c r="H60" s="8" t="inlineStr">
        <is>
          <t>Trang chi tiết vẫn tải bình thường (HTTP 200), khối gợi ý tự chuyển sang phương án dự phòng (lấy món cùng danh mục trong DB), không sập 500</t>
        </is>
      </c>
      <c r="I60" s="8" t="inlineStr">
        <is>
          <t>Cơ chế Fallback hoạt động hoàn hảo, nhật ký ghi warning `Khong goi duoc dich vu Python`</t>
        </is>
      </c>
      <c r="J60" s="7" t="inlineStr">
        <is>
          <t>Đạt</t>
        </is>
      </c>
      <c r="K60" s="7" t="inlineStr">
        <is>
          <t>Rất cao</t>
        </is>
      </c>
      <c r="L60" s="8" t="inlineStr">
        <is>
          <t>V5 - Kiểm thử</t>
        </is>
      </c>
      <c r="M60" s="8" t="inlineStr">
        <is>
          <t>Kiểm thử trực tuyến / Local</t>
        </is>
      </c>
    </row>
    <row r="61" ht="32" customHeight="1">
      <c r="A61" s="4" t="inlineStr">
        <is>
          <t>TC-PYMD-003</t>
        </is>
      </c>
      <c r="B61" s="4" t="inlineStr">
        <is>
          <t>PYMD</t>
        </is>
      </c>
      <c r="C61" s="9" t="inlineStr">
        <is>
          <t>Luồng ngoại lệ</t>
        </is>
      </c>
      <c r="D61" s="6" t="inlineStr">
        <is>
          <t>Kiểm chứng bảo mật điểm cuối Python: Từ chối gọi API khi thiếu hoặc sai `X-Service-Token`</t>
        </is>
      </c>
      <c r="E61" s="6" t="inlineStr">
        <is>
          <t>Dịch vụ Python đang chạy</t>
        </is>
      </c>
      <c r="F61" s="6" t="inlineStr">
        <is>
          <t>Request: `GET http://127.0.0.1:8001/recommend/12` không có header `X-Service-Token`</t>
        </is>
      </c>
      <c r="G61" s="6" t="inlineStr">
        <is>
          <t>1. Dùng cURL gọi thẳng vào API Python mà không truyền token bảo mật nội bộ</t>
        </is>
      </c>
      <c r="H61" s="6" t="inlineStr">
        <is>
          <t>Dịch vụ Python trả về HTTP Status 401 Unauthorized: `{"detail": "Token khong hop le"}`</t>
        </is>
      </c>
      <c r="I61" s="6" t="inlineStr">
        <is>
          <t>Trả về 401 chính xác, bảo vệ API nội bộ</t>
        </is>
      </c>
      <c r="J61" s="4" t="inlineStr">
        <is>
          <t>Đạt</t>
        </is>
      </c>
      <c r="K61" s="4" t="inlineStr">
        <is>
          <t>Cao</t>
        </is>
      </c>
      <c r="L61" s="6" t="inlineStr">
        <is>
          <t>V5 - Kiểm thử</t>
        </is>
      </c>
      <c r="M61" s="6" t="inlineStr">
        <is>
          <t>Kiểm thử trực tuyến / Local</t>
        </is>
      </c>
    </row>
    <row r="62" ht="32" customHeight="1">
      <c r="A62" s="7" t="inlineStr">
        <is>
          <t>TC-VALD-001</t>
        </is>
      </c>
      <c r="B62" s="7" t="inlineStr">
        <is>
          <t>VALD</t>
        </is>
      </c>
      <c r="C62" s="9" t="inlineStr">
        <is>
          <t>Luồng ngoại lệ</t>
        </is>
      </c>
      <c r="D62" s="8" t="inlineStr">
        <is>
          <t>Kiểm chứng Máy chủ vẫn chặn dữ liệu khi vô hiệu hóa Validation phía Client (HTML5/JS)</t>
        </is>
      </c>
      <c r="E62" s="8" t="inlineStr">
        <is>
          <t>Đang ở biểu mẫu Đặt chỗ</t>
        </is>
      </c>
      <c r="F62" s="8" t="inlineStr">
        <is>
          <t>Mở DevTools xóa thuộc tính `min='1'` và gửi `pax = -5`</t>
        </is>
      </c>
      <c r="G62" s="8" t="inlineStr">
        <is>
          <t>1. Dùng F12 xóa ràng buộc HTML5
2. Nhập số khách = -5
3. Bấm Đặt chỗ</t>
        </is>
      </c>
      <c r="H62" s="8" t="inlineStr">
        <is>
          <t>Máy chủ Laravel kiểm tra `StoreBookingRequest` (`'pax' =&gt; 'required|integer|min:1'`), từ chối với lỗi 422</t>
        </is>
      </c>
      <c r="I62" s="8" t="inlineStr">
        <is>
          <t>Máy chủ chặn 422 thành công, không cho phép chèn số âm vào CSDL</t>
        </is>
      </c>
      <c r="J62" s="7" t="inlineStr">
        <is>
          <t>Đạt</t>
        </is>
      </c>
      <c r="K62" s="7" t="inlineStr">
        <is>
          <t>Rất cao</t>
        </is>
      </c>
      <c r="L62" s="8" t="inlineStr">
        <is>
          <t>V5 - Kiểm thử</t>
        </is>
      </c>
      <c r="M62" s="8" t="inlineStr">
        <is>
          <t>Kiểm thử trực tuyến / Local</t>
        </is>
      </c>
    </row>
    <row r="63" ht="32" customHeight="1">
      <c r="A63" s="4" t="inlineStr">
        <is>
          <t>TC-VALD-002</t>
        </is>
      </c>
      <c r="B63" s="4" t="inlineStr">
        <is>
          <t>VALD</t>
        </is>
      </c>
      <c r="C63" s="9" t="inlineStr">
        <is>
          <t>Luồng ngoại lệ</t>
        </is>
      </c>
      <c r="D63" s="6" t="inlineStr">
        <is>
          <t>Kiểm chứng chặn chuỗi ký tự cực đại (10.000+ ký tự) gửi vào ô Ghi chú đơn đặt</t>
        </is>
      </c>
      <c r="E63" s="6" t="inlineStr">
        <is>
          <t>Đang ở biểu mẫu Đặt chỗ</t>
        </is>
      </c>
      <c r="F63" s="6" t="inlineStr">
        <is>
          <t>Chuỗi văn bản dài 10,000 ký tự rác</t>
        </is>
      </c>
      <c r="G63" s="6" t="inlineStr">
        <is>
          <t>1. Dán chuỗi 10,000 ký tự vào ô Ghi chú
2. Bấm Đặt chỗ</t>
        </is>
      </c>
      <c r="H63" s="6" t="inlineStr">
        <is>
          <t>Máy chủ trả về lỗi 422: 'Ghi chú không được vượt quá 500 ký tự.'</t>
        </is>
      </c>
      <c r="I63" s="6" t="inlineStr">
        <is>
          <t>Chặn chuỗi quá dài thành công</t>
        </is>
      </c>
      <c r="J63" s="4" t="inlineStr">
        <is>
          <t>Đạt</t>
        </is>
      </c>
      <c r="K63" s="4" t="inlineStr">
        <is>
          <t>Cao</t>
        </is>
      </c>
      <c r="L63" s="6" t="inlineStr">
        <is>
          <t>V5 - Kiểm thử</t>
        </is>
      </c>
      <c r="M63" s="6" t="inlineStr">
        <is>
          <t>Kiểm thử trực tuyến / Local</t>
        </is>
      </c>
    </row>
    <row r="64" ht="32" customHeight="1">
      <c r="A64" s="7" t="inlineStr">
        <is>
          <t>TC-VALD-003</t>
        </is>
      </c>
      <c r="B64" s="7" t="inlineStr">
        <is>
          <t>VALD</t>
        </is>
      </c>
      <c r="C64" s="10" t="inlineStr">
        <is>
          <t>Giá trị biên</t>
        </is>
      </c>
      <c r="D64" s="8" t="inlineStr">
        <is>
          <t>Kiểm chứng gửi Request JSON rỗng (`{}`) tới API tạo đơn đặt hàng</t>
        </is>
      </c>
      <c r="E64" s="8" t="inlineStr">
        <is>
          <t>API `/api/v1/bookings`</t>
        </is>
      </c>
      <c r="F64" s="8" t="inlineStr">
        <is>
          <t>Body: `{}` (JSON rỗng)</t>
        </is>
      </c>
      <c r="G64" s="8" t="inlineStr">
        <is>
          <t>1. Dùng Postman gửi request body rỗng tới API tạo đơn</t>
        </is>
      </c>
      <c r="H64" s="8" t="inlineStr">
        <is>
          <t>API trả về HTTP 422 Unprocessable Entity kèm cấu trúc JSON liệt kê đủ lỗi validation cho toàn bộ các trường thiếu</t>
        </is>
      </c>
      <c r="I64" s="8" t="inlineStr">
        <is>
          <t>Trả về chi tiết danh sách lỗi 422 JSON chuẩn OpenAPI</t>
        </is>
      </c>
      <c r="J64" s="7" t="inlineStr">
        <is>
          <t>Đạt</t>
        </is>
      </c>
      <c r="K64" s="7" t="inlineStr">
        <is>
          <t>Cao</t>
        </is>
      </c>
      <c r="L64" s="8" t="inlineStr">
        <is>
          <t>V5 - Kiểm thử</t>
        </is>
      </c>
      <c r="M64" s="8" t="inlineStr">
        <is>
          <t>Kiểm thử trực tuyến / Local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24" customWidth="1" min="3" max="3"/>
    <col width="26" customWidth="1" min="4" max="4"/>
    <col width="24" customWidth="1" min="5" max="5"/>
    <col width="18" customWidth="1" min="6" max="6"/>
  </cols>
  <sheetData>
    <row r="1" ht="40" customHeight="1">
      <c r="A1" s="1" t="inlineStr">
        <is>
          <t>MA TRẬN THỐNG KÊ PHÂN BỔ 60 CA KIỂM THỬ THEO MÔ-ĐUN VÀ LOẠI KỊCH BẢN</t>
        </is>
      </c>
    </row>
    <row r="2" ht="20" customHeight="1">
      <c r="A2" s="2" t="inlineStr">
        <is>
          <t>Căn cứ Ngưỡng Quy định Mục 11.1 - Tài liệu kỹ thuật CSE703073 (Đúng 60 ca, bao phủ 9 mô-đun &amp; 3 kịch bản)</t>
        </is>
      </c>
    </row>
    <row r="4" ht="28" customHeight="1">
      <c r="A4" s="3" t="inlineStr">
        <is>
          <t>Mã Mô-đun</t>
        </is>
      </c>
      <c r="B4" s="3" t="inlineStr">
        <is>
          <t>Tên Mô-đun Hệ thống</t>
        </is>
      </c>
      <c r="C4" s="3" t="inlineStr">
        <is>
          <t>Luồng thuận (Positive)</t>
        </is>
      </c>
      <c r="D4" s="3" t="inlineStr">
        <is>
          <t>Luồng ngoại lệ (Negative)</t>
        </is>
      </c>
      <c r="E4" s="3" t="inlineStr">
        <is>
          <t>Giá trị biên (Boundary)</t>
        </is>
      </c>
      <c r="F4" s="3" t="inlineStr">
        <is>
          <t>Tổng số ca</t>
        </is>
      </c>
    </row>
    <row r="5" ht="24" customHeight="1">
      <c r="A5" s="11" t="inlineStr">
        <is>
          <t>AUTH</t>
        </is>
      </c>
      <c r="B5" s="12" t="inlineStr">
        <is>
          <t>Xác thực và quản lý phiên (Authentication &amp; Session)</t>
        </is>
      </c>
      <c r="C5" s="13">
        <f>COUNTIFS(Danh_Muc_60_Ca_Kiem_Thu!$B$5:$B$64, "AUTH", Danh_Muc_60_Ca_Kiem_Thu!$C$5:$C$64, "Luồng thuận")</f>
        <v/>
      </c>
      <c r="D5" s="14">
        <f>COUNTIFS(Danh_Muc_60_Ca_Kiem_Thu!$B$5:$B$64, "AUTH", Danh_Muc_60_Ca_Kiem_Thu!$C$5:$C$64, "Luồng ngoại lệ")</f>
        <v/>
      </c>
      <c r="E5" s="15">
        <f>COUNTIFS(Danh_Muc_60_Ca_Kiem_Thu!$B$5:$B$64, "AUTH", Danh_Muc_60_Ca_Kiem_Thu!$C$5:$C$64, "Giá trị biên")</f>
        <v/>
      </c>
      <c r="F5" s="11">
        <f>SUM(C5:E5)</f>
        <v/>
      </c>
    </row>
    <row r="6" ht="24" customHeight="1">
      <c r="A6" s="11" t="inlineStr">
        <is>
          <t>PERM</t>
        </is>
      </c>
      <c r="B6" s="12" t="inlineStr">
        <is>
          <t>Phân quyền theo vai trò (Role-Based Access Control)</t>
        </is>
      </c>
      <c r="C6" s="13">
        <f>COUNTIFS(Danh_Muc_60_Ca_Kiem_Thu!$B$5:$B$64, "PERM", Danh_Muc_60_Ca_Kiem_Thu!$C$5:$C$64, "Luồng thuận")</f>
        <v/>
      </c>
      <c r="D6" s="14">
        <f>COUNTIFS(Danh_Muc_60_Ca_Kiem_Thu!$B$5:$B$64, "PERM", Danh_Muc_60_Ca_Kiem_Thu!$C$5:$C$64, "Luồng ngoại lệ")</f>
        <v/>
      </c>
      <c r="E6" s="15">
        <f>COUNTIFS(Danh_Muc_60_Ca_Kiem_Thu!$B$5:$B$64, "PERM", Danh_Muc_60_Ca_Kiem_Thu!$C$5:$C$64, "Giá trị biên")</f>
        <v/>
      </c>
      <c r="F6" s="11">
        <f>SUM(C6:E6)</f>
        <v/>
      </c>
    </row>
    <row r="7" ht="24" customHeight="1">
      <c r="A7" s="11" t="inlineStr">
        <is>
          <t>CATL</t>
        </is>
      </c>
      <c r="B7" s="12" t="inlineStr">
        <is>
          <t>Danh mục, tìm kiếm, lọc, phân trang (Catalog &amp; Search)</t>
        </is>
      </c>
      <c r="C7" s="13">
        <f>COUNTIFS(Danh_Muc_60_Ca_Kiem_Thu!$B$5:$B$64, "CATL", Danh_Muc_60_Ca_Kiem_Thu!$C$5:$C$64, "Luồng thuận")</f>
        <v/>
      </c>
      <c r="D7" s="14">
        <f>COUNTIFS(Danh_Muc_60_Ca_Kiem_Thu!$B$5:$B$64, "CATL", Danh_Muc_60_Ca_Kiem_Thu!$C$5:$C$64, "Luồng ngoại lệ")</f>
        <v/>
      </c>
      <c r="E7" s="15">
        <f>COUNTIFS(Danh_Muc_60_Ca_Kiem_Thu!$B$5:$B$64, "CATL", Danh_Muc_60_Ca_Kiem_Thu!$C$5:$C$64, "Giá trị biên")</f>
        <v/>
      </c>
      <c r="F7" s="11">
        <f>SUM(C7:E7)</f>
        <v/>
      </c>
    </row>
    <row r="8" ht="24" customHeight="1">
      <c r="A8" s="11" t="inlineStr">
        <is>
          <t>BOOK</t>
        </is>
      </c>
      <c r="B8" s="12" t="inlineStr">
        <is>
          <t>Đặt chỗ / Địa điểm và giữ chỗ có thời hạn (Booking &amp; Hold)</t>
        </is>
      </c>
      <c r="C8" s="13">
        <f>COUNTIFS(Danh_Muc_60_Ca_Kiem_Thu!$B$5:$B$64, "BOOK", Danh_Muc_60_Ca_Kiem_Thu!$C$5:$C$64, "Luồng thuận")</f>
        <v/>
      </c>
      <c r="D8" s="14">
        <f>COUNTIFS(Danh_Muc_60_Ca_Kiem_Thu!$B$5:$B$64, "BOOK", Danh_Muc_60_Ca_Kiem_Thu!$C$5:$C$64, "Luồng ngoại lệ")</f>
        <v/>
      </c>
      <c r="E8" s="15">
        <f>COUNTIFS(Danh_Muc_60_Ca_Kiem_Thu!$B$5:$B$64, "BOOK", Danh_Muc_60_Ca_Kiem_Thu!$C$5:$C$64, "Giá trị biên")</f>
        <v/>
      </c>
      <c r="F8" s="11">
        <f>SUM(C8:E8)</f>
        <v/>
      </c>
    </row>
    <row r="9" ht="24" customHeight="1">
      <c r="A9" s="11" t="inlineStr">
        <is>
          <t>PAY</t>
        </is>
      </c>
      <c r="B9" s="12" t="inlineStr">
        <is>
          <t>Thanh toán chế độ thử nghiệm (Sandbox Payment)</t>
        </is>
      </c>
      <c r="C9" s="13">
        <f>COUNTIFS(Danh_Muc_60_Ca_Kiem_Thu!$B$5:$B$64, "PAY", Danh_Muc_60_Ca_Kiem_Thu!$C$5:$C$64, "Luồng thuận")</f>
        <v/>
      </c>
      <c r="D9" s="14">
        <f>COUNTIFS(Danh_Muc_60_Ca_Kiem_Thu!$B$5:$B$64, "PAY", Danh_Muc_60_Ca_Kiem_Thu!$C$5:$C$64, "Luồng ngoại lệ")</f>
        <v/>
      </c>
      <c r="E9" s="15">
        <f>COUNTIFS(Danh_Muc_60_Ca_Kiem_Thu!$B$5:$B$64, "PAY", Danh_Muc_60_Ca_Kiem_Thu!$C$5:$C$64, "Giá trị biên")</f>
        <v/>
      </c>
      <c r="F9" s="11">
        <f>SUM(C9:E9)</f>
        <v/>
      </c>
    </row>
    <row r="10" ht="24" customHeight="1">
      <c r="A10" s="11" t="inlineStr">
        <is>
          <t>ORDR</t>
        </is>
      </c>
      <c r="B10" s="12" t="inlineStr">
        <is>
          <t>Quản lý đơn, hủy và hoàn tiền (Order &amp; State Machine)</t>
        </is>
      </c>
      <c r="C10" s="13">
        <f>COUNTIFS(Danh_Muc_60_Ca_Kiem_Thu!$B$5:$B$64, "ORDR", Danh_Muc_60_Ca_Kiem_Thu!$C$5:$C$64, "Luồng thuận")</f>
        <v/>
      </c>
      <c r="D10" s="14">
        <f>COUNTIFS(Danh_Muc_60_Ca_Kiem_Thu!$B$5:$B$64, "ORDR", Danh_Muc_60_Ca_Kiem_Thu!$C$5:$C$64, "Luồng ngoại lệ")</f>
        <v/>
      </c>
      <c r="E10" s="15">
        <f>COUNTIFS(Danh_Muc_60_Ca_Kiem_Thu!$B$5:$B$64, "ORDR", Danh_Muc_60_Ca_Kiem_Thu!$C$5:$C$64, "Giá trị biên")</f>
        <v/>
      </c>
      <c r="F10" s="11">
        <f>SUM(C10:E10)</f>
        <v/>
      </c>
    </row>
    <row r="11" ht="24" customHeight="1">
      <c r="A11" s="11" t="inlineStr">
        <is>
          <t>ADMN</t>
        </is>
      </c>
      <c r="B11" s="12" t="inlineStr">
        <is>
          <t>Quản trị, báo cáo, kết xuất (Admin Dashboard &amp; Export)</t>
        </is>
      </c>
      <c r="C11" s="13">
        <f>COUNTIFS(Danh_Muc_60_Ca_Kiem_Thu!$B$5:$B$64, "ADMN", Danh_Muc_60_Ca_Kiem_Thu!$C$5:$C$64, "Luồng thuận")</f>
        <v/>
      </c>
      <c r="D11" s="14">
        <f>COUNTIFS(Danh_Muc_60_Ca_Kiem_Thu!$B$5:$B$64, "ADMN", Danh_Muc_60_Ca_Kiem_Thu!$C$5:$C$64, "Luồng ngoại lệ")</f>
        <v/>
      </c>
      <c r="E11" s="15">
        <f>COUNTIFS(Danh_Muc_60_Ca_Kiem_Thu!$B$5:$B$64, "ADMN", Danh_Muc_60_Ca_Kiem_Thu!$C$5:$C$64, "Giá trị biên")</f>
        <v/>
      </c>
      <c r="F11" s="11">
        <f>SUM(C11:E11)</f>
        <v/>
      </c>
    </row>
    <row r="12" ht="24" customHeight="1">
      <c r="A12" s="11" t="inlineStr">
        <is>
          <t>PYMD</t>
        </is>
      </c>
      <c r="B12" s="12" t="inlineStr">
        <is>
          <t>Mô-đun Python: gợi ý &amp; thống kê (Python Service / FastAPI)</t>
        </is>
      </c>
      <c r="C12" s="13">
        <f>COUNTIFS(Danh_Muc_60_Ca_Kiem_Thu!$B$5:$B$64, "PYMD", Danh_Muc_60_Ca_Kiem_Thu!$C$5:$C$64, "Luồng thuận")</f>
        <v/>
      </c>
      <c r="D12" s="14">
        <f>COUNTIFS(Danh_Muc_60_Ca_Kiem_Thu!$B$5:$B$64, "PYMD", Danh_Muc_60_Ca_Kiem_Thu!$C$5:$C$64, "Luồng ngoại lệ")</f>
        <v/>
      </c>
      <c r="E12" s="15">
        <f>COUNTIFS(Danh_Muc_60_Ca_Kiem_Thu!$B$5:$B$64, "PYMD", Danh_Muc_60_Ca_Kiem_Thu!$C$5:$C$64, "Giá trị biên")</f>
        <v/>
      </c>
      <c r="F12" s="11">
        <f>SUM(C12:E12)</f>
        <v/>
      </c>
    </row>
    <row r="13" ht="24" customHeight="1">
      <c r="A13" s="11" t="inlineStr">
        <is>
          <t>VALD</t>
        </is>
      </c>
      <c r="B13" s="12" t="inlineStr">
        <is>
          <t>Kiểm tra tính hợp lệ dữ liệu đầu vào (Form Validation)</t>
        </is>
      </c>
      <c r="C13" s="13">
        <f>COUNTIFS(Danh_Muc_60_Ca_Kiem_Thu!$B$5:$B$64, "VALD", Danh_Muc_60_Ca_Kiem_Thu!$C$5:$C$64, "Luồng thuận")</f>
        <v/>
      </c>
      <c r="D13" s="14">
        <f>COUNTIFS(Danh_Muc_60_Ca_Kiem_Thu!$B$5:$B$64, "VALD", Danh_Muc_60_Ca_Kiem_Thu!$C$5:$C$64, "Luồng ngoại lệ")</f>
        <v/>
      </c>
      <c r="E13" s="15">
        <f>COUNTIFS(Danh_Muc_60_Ca_Kiem_Thu!$B$5:$B$64, "VALD", Danh_Muc_60_Ca_Kiem_Thu!$C$5:$C$64, "Giá trị biên")</f>
        <v/>
      </c>
      <c r="F13" s="11">
        <f>SUM(C13:E13)</f>
        <v/>
      </c>
    </row>
    <row r="14" ht="28" customHeight="1">
      <c r="A14" s="16" t="inlineStr">
        <is>
          <t>TỔNG CỘNG</t>
        </is>
      </c>
      <c r="B14" s="17" t="n"/>
      <c r="C14" s="18">
        <f>SUM(C5:C13)</f>
        <v/>
      </c>
      <c r="D14" s="19">
        <f>SUM(D5:D13)</f>
        <v/>
      </c>
      <c r="E14" s="20">
        <f>SUM(E5:E13)</f>
        <v/>
      </c>
      <c r="F14" s="21">
        <f>SUM(F5:F13)</f>
        <v/>
      </c>
    </row>
    <row r="16">
      <c r="A16" s="22" t="inlineStr">
        <is>
          <t>KIỂM TRA CÁC NGƯỠNG BẮT BUỘC THEO ĐỀ THI &amp; SỔ TAY THỰC HÀNH</t>
        </is>
      </c>
    </row>
    <row r="17" ht="22" customHeight="1">
      <c r="A17" s="23" t="inlineStr">
        <is>
          <t>Tổng số ca kiểm thử:</t>
        </is>
      </c>
      <c r="B17" s="24">
        <f>F14</f>
        <v/>
      </c>
      <c r="C17" s="25" t="inlineStr">
        <is>
          <t>Đúng 60 ca bắt buộc</t>
        </is>
      </c>
      <c r="D17" s="24">
        <f>IF(F14=60, "✅ ĐẠT", "❌ CHƯA ĐẠT")</f>
        <v/>
      </c>
    </row>
    <row r="18" ht="22" customHeight="1">
      <c r="A18" s="23" t="inlineStr">
        <is>
          <t>Số ca phân quyền (PERM):</t>
        </is>
      </c>
      <c r="B18" s="24">
        <f>F6</f>
        <v/>
      </c>
      <c r="C18" s="25" t="inlineStr">
        <is>
          <t>Tối thiểu 5 ca</t>
        </is>
      </c>
      <c r="D18" s="24">
        <f>IF(F6&gt;=5, "✅ ĐẠT", "❌ CHƯA ĐẠT")</f>
        <v/>
      </c>
    </row>
    <row r="19" ht="22" customHeight="1">
      <c r="A19" s="23" t="inlineStr">
        <is>
          <t>Số ca hợp lệ dữ liệu (VALD+):</t>
        </is>
      </c>
      <c r="B19" s="24">
        <f>D13+E13+D5+E5</f>
        <v/>
      </c>
      <c r="C19" s="25" t="inlineStr">
        <is>
          <t>Tối thiểu 5 ca</t>
        </is>
      </c>
      <c r="D19" s="24">
        <f>IF((D13+E13+D5+E5)&gt;=5, "✅ ĐẠT", "❌ CHƯA ĐẠT")</f>
        <v/>
      </c>
    </row>
    <row r="20" ht="22" customHeight="1">
      <c r="A20" s="23" t="inlineStr">
        <is>
          <t>Bao phủ luồng ngoại lệ + biên:</t>
        </is>
      </c>
      <c r="B20" s="24">
        <f>D14+E14</f>
        <v/>
      </c>
      <c r="C20" s="25" t="inlineStr">
        <is>
          <t>Bắt buộc có ca ngoại lệ/biên</t>
        </is>
      </c>
      <c r="D20" s="24">
        <f>IF((D14+E14)&gt;0, "✅ ĐẠT", "❌ CHƯA ĐẠT")</f>
        <v/>
      </c>
    </row>
  </sheetData>
  <mergeCells count="3">
    <mergeCell ref="A2:E2"/>
    <mergeCell ref="A14:B1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2026-09-21T16:40:45Z</dcterms:created>
  <dcterms:modified xmlns:dcterms="http://purl.org/dc/terms/" xmlns:xsi="http://www.w3.org/2001/XMLSchema-instance" xsi:type="dcterms:W3CDTF">2026-09-21T16:40:45Z</dcterms:modified>
</cp:coreProperties>
</file>