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UY HOÀNG\Downloads\"/>
    </mc:Choice>
  </mc:AlternateContent>
  <xr:revisionPtr revIDLastSave="0" documentId="13_ncr:1_{EE5B1597-50AD-4A2F-B0DC-69AE43BB6B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_Ca_Kiem_Thu_M2" sheetId="1" r:id="rId1"/>
    <sheet name="Thong_Ke_M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D8" i="2" s="1"/>
  <c r="B8" i="2"/>
  <c r="D7" i="2"/>
  <c r="D6" i="2"/>
  <c r="D5" i="2"/>
  <c r="D4" i="2"/>
</calcChain>
</file>

<file path=xl/sharedStrings.xml><?xml version="1.0" encoding="utf-8"?>
<sst xmlns="http://schemas.openxmlformats.org/spreadsheetml/2006/main" count="284" uniqueCount="174">
  <si>
    <t>BẢNG 20 CA KIỂM THỬ THỰC THI MỐC M2 - HỆ THỐNG BẢN ĐỒ SỐ DU LỊCH ẨM THỰC VÙNG MIỀN (ĐT-11)</t>
  </si>
  <si>
    <t>Mã ca (ID)</t>
  </si>
  <si>
    <t>Mô-đun</t>
  </si>
  <si>
    <t>Loại kịch bản</t>
  </si>
  <si>
    <t>Mục tiêu kiểm thử</t>
  </si>
  <si>
    <t>Tiền điều kiện</t>
  </si>
  <si>
    <t>Dữ liệu đầu vào</t>
  </si>
  <si>
    <t>Các bước thực hiện</t>
  </si>
  <si>
    <t>Kết quả mong đợi</t>
  </si>
  <si>
    <t>Kết quả thực tế</t>
  </si>
  <si>
    <t>Trạng thái</t>
  </si>
  <si>
    <t>Mức nghiêm trọng</t>
  </si>
  <si>
    <t>Người thực hiện &amp; VT</t>
  </si>
  <si>
    <t>Ghi chú / Môi trường</t>
  </si>
  <si>
    <t>TC-AUTH-001</t>
  </si>
  <si>
    <t>AUTH</t>
  </si>
  <si>
    <t>Luồng thuận</t>
  </si>
  <si>
    <t>Kiểm chứng đăng ký tài khoản khách hàng mới thành công</t>
  </si>
  <si>
    <t>Đã mở trang đăng ký; chưa đăng nhập</t>
  </si>
  <si>
    <t>Email: khach01@demo.test, Mật khẩu: MatKhau!123, Họ tên: Nguyễn Văn A</t>
  </si>
  <si>
    <t>1. Nhập họ tên, email, sđt, mật khẩu hợp lệ
2. Bấm nút 'Đăng ký'</t>
  </si>
  <si>
    <t>Tạo tài khoản thành công, mật khẩu băm Argon2id trong CSDL, tự động đăng nhập và chuyển hướng về Trang chủ</t>
  </si>
  <si>
    <t>Tài khoản được tạo thành công, chuỗi mật khẩu băm $argon2id$ trong CSDL</t>
  </si>
  <si>
    <t>Đạt</t>
  </si>
  <si>
    <t>Cao</t>
  </si>
  <si>
    <t>V5 - Kiểm thử</t>
  </si>
  <si>
    <t>Kiểm thử trực tuyến / Local</t>
  </si>
  <si>
    <t>TC-AUTH-002</t>
  </si>
  <si>
    <t>Kiểm chứng đăng nhập thành công với tài khoản hợp lệ</t>
  </si>
  <si>
    <t>Tài khoản khach01@demo.test đã tồn tại trong CSDL</t>
  </si>
  <si>
    <t>Email: khach01@demo.test, Mật khẩu: MatKhau!123</t>
  </si>
  <si>
    <t>1. Mở trang /dang-nhap
2. Nhập email và mật khẩu đúng
3. Bấm 'Đăng nhập'</t>
  </si>
  <si>
    <t>Đăng nhập thành công, tạo phiên làm việc (session), hiển thị tên 'Nguyễn Văn A' trên thanh điều hướng</t>
  </si>
  <si>
    <t>Đăng nhập thành công, cookie session được khởi tạo với cờ HttpOnly, SameSite=Lax</t>
  </si>
  <si>
    <t>Rất cao</t>
  </si>
  <si>
    <t>TC-AUTH-003</t>
  </si>
  <si>
    <t>Kiểm chứng chức năng đăng xuất và hủy phiên làm việc</t>
  </si>
  <si>
    <t>Người dùng đang trong trạng thái đã đăng nhập</t>
  </si>
  <si>
    <t>Hành động: Bấm nút 'Đăng xuất'</t>
  </si>
  <si>
    <t>1. Bấm nút 'Đăng xuất' trên header
2. Bấm nút Quay lại (Back) của trình duyệt</t>
  </si>
  <si>
    <t>Phiên làm việc bị hủy hoàn toàn, token CSRF được sinh mới, bấm Back không thể xem lại trang cá nhân</t>
  </si>
  <si>
    <t>Hủy phiên thành công, trình duyệt chuyển về trang chủ, bấm Back bị yêu cầu đăng nhập lại</t>
  </si>
  <si>
    <t>TC-PERM-001</t>
  </si>
  <si>
    <t>PERM</t>
  </si>
  <si>
    <t>Kiểm chứng Quản trị viên (`admin`) truy cập đầy đủ trang Quản trị</t>
  </si>
  <si>
    <t>Đã đăng nhập tài khoản vai trò `admin`</t>
  </si>
  <si>
    <t>URL: /admin/dashboard, /admin/co-so, /admin/mon-an</t>
  </si>
  <si>
    <t>1. Truy cập các đường dẫn quản trị hệ thống</t>
  </si>
  <si>
    <t>Cho phép truy cập, hiển thị đầy đủ giao diện Bảng điều khiển và các chức năng quản lý</t>
  </si>
  <si>
    <t>Truy cập thành công, HTTP Status 200 OK</t>
  </si>
  <si>
    <t>TC-PERM-003</t>
  </si>
  <si>
    <t>Luồng ngoại lệ</t>
  </si>
  <si>
    <t>Kiểm chứng Khách hàng truy cập trực tiếp URL quản trị bị từ chối 403</t>
  </si>
  <si>
    <t>Đã đăng nhập tài khoản vai trò `customer`</t>
  </si>
  <si>
    <t>URL gõ trực tiếp: http://localhost:8000/admin/mon-an</t>
  </si>
  <si>
    <t>1. Dán URL quản trị vào thanh địa chỉ trình duyệt
2. Nhấn Enter</t>
  </si>
  <si>
    <t>Hệ thống chặn truy cập ở tầng máy chủ (Middleware `EnsureRole`), trả về trang lỗi 403 Forbidden</t>
  </si>
  <si>
    <t>Trả về lỗi 403, không lộ dữ liệu quản trị, nhật ký ghi vết `phan_quyen.tu_choi`</t>
  </si>
  <si>
    <t>TC-PERM-004</t>
  </si>
  <si>
    <t>Kiểm chứng Khách hàng gọi API Quản trị qua cURL/Postman bị từ chối</t>
  </si>
  <si>
    <t>Lấy cookie phiên của tài khoản `customer`</t>
  </si>
  <si>
    <t>Request: GET /api/v1/admin/co-so kèm Cookie session</t>
  </si>
  <si>
    <t>1. Bật Postman / cURL gửi request tới API quản trị kèm cookie khách hàng</t>
  </si>
  <si>
    <t>API trả về JSON: `{"message": "Khong du quyen truy cap."}`, HTTP Status 403</t>
  </si>
  <si>
    <t>Trả về HTTP 403 JSON chính xác, không phơi dữ liệu CSDL</t>
  </si>
  <si>
    <t>TC-PERM-005</t>
  </si>
  <si>
    <t>Kiểm chứng chống lỗ hổng IDOR khi Nhà cung cấp A sửa ID món ăn của Nhà cung cấp B</t>
  </si>
  <si>
    <t>Nhà cung cấp A sở hữu Món #10; Nhà cung cấp B sở hữu Món #25</t>
  </si>
  <si>
    <t>Request: POST /nha-cung-cap/mon-an/25/update (do Nhà cung cấp A gửi)</t>
  </si>
  <si>
    <t>1. Đăng nhập Nhà cung cấp A
2. Cố tình gửi form cập nhật với ID món ăn #25 của Nhà cung cấp B</t>
  </si>
  <si>
    <t>Lớp Policy (`BookingPolicy` / `ProductPolicy`) chặn thao tác, trả về 403 Forbidden</t>
  </si>
  <si>
    <t>Chặn thành công, dữ liệu món #25 không bị thay đổi</t>
  </si>
  <si>
    <t>TC-CATL-001</t>
  </si>
  <si>
    <t>CATL</t>
  </si>
  <si>
    <t>Kiểm chứng tìm kiếm món ăn theo từ khóa 'Bún chả'</t>
  </si>
  <si>
    <t>CSDL có chứa món 'Bún chả Hà Nội' và 'Bún chả kẹp que bamboo'</t>
  </si>
  <si>
    <t>Từ khóa search: 'Bún chả'</t>
  </si>
  <si>
    <t>1. Nhập 'Bún chả' vào ô tìm kiếm trên Header
2. Bấm nút Tìm kiếm (Enter)</t>
  </si>
  <si>
    <t>Trả về danh sách danh mục chứa các món ăn có tiêu đề khớp từ khóa 'Bún chả', phân trang phía máy chủ</t>
  </si>
  <si>
    <t>Trả về 2 kết quả chính xác, câu truy vấn SQL tham số hóa an toàn</t>
  </si>
  <si>
    <t>TC-CATL-002</t>
  </si>
  <si>
    <t>Kiểm chứng lọc món ăn theo Vùng miền ('Miền Bắc') và Tỉnh thành ('Hà Nội')</t>
  </si>
  <si>
    <t>Đang ở trang Danh mục Ẩm thực</t>
  </si>
  <si>
    <t>Bộ lọc: Vùng miền = 'Miền Bắc', Tỉnh thành = 'Hà Nội'</t>
  </si>
  <si>
    <t>1. Chọn 'Miền Bắc' ở dropdown Vùng miền
2. Chọn 'Hà Nội' ở dropdown Tỉnh thành
3. Bấm 'Lọc'</t>
  </si>
  <si>
    <t>Danh sách cập nhật chỉ hiển thị các món ăn thuộc địa bàn Hà Nội, URL giữ tham số `?vung_mien=mien-bac&amp;tinh=ha-noi`</t>
  </si>
  <si>
    <t>Lọc dữ liệu chính xác, URL thân thiện SEO</t>
  </si>
  <si>
    <t>TC-CATL-003</t>
  </si>
  <si>
    <t>Kiểm chứng lọc món ăn theo khoảng giá (50.000đ - 200.000đ) &amp; sắp xếp giá tăng dần</t>
  </si>
  <si>
    <t>price_min: 50000, price_max: 200000, sort: price_asc</t>
  </si>
  <si>
    <t>1. Nhập khoảng giá 50,000 - 200,000
2. Chọn sắp xếp 'Giá tăng dần'
3. Bấm Lọc</t>
  </si>
  <si>
    <t>Danh sách hiển thị các món trong khoảng giá, thứ tự giá tăng dần chuẩn xác</t>
  </si>
  <si>
    <t>Kết quả lọc và sắp xếp đúng 100%</t>
  </si>
  <si>
    <t>TC-CATL-004</t>
  </si>
  <si>
    <t>Kiểm chứng phân trang phía máy chủ (12 món/trang) giữ nguyên bộ lọc</t>
  </si>
  <si>
    <t>Danh sách tìm kiếm trả về 30 kết quả (3 trang)</t>
  </si>
  <si>
    <t>Trang hiện tại: Trang 1, Bấm chuyển sang: Trang 2</t>
  </si>
  <si>
    <t>1. Cuộn xuống chân trang
2. Nhấp chọn số trang '2'</t>
  </si>
  <si>
    <t>Tải trang 2 từ server bằng SQL `LIMIT 12 OFFSET 12`, giữ nguyên các tham số bộ lọc trên URL</t>
  </si>
  <si>
    <t>Phân trang máy chủ mượt mà, không tải toàn bộ dữ liệu về client</t>
  </si>
  <si>
    <t>TC-CATL-006</t>
  </si>
  <si>
    <t>Kiểm chứng chống tấn công SQL Injection trên ô tìm kiếm</t>
  </si>
  <si>
    <t>Đang ở trang tìm kiếm</t>
  </si>
  <si>
    <t>Từ khóa tiêm nhiễm: `' OR '1'='1 --` hoặc `" UNION SELECT * FROM users --`</t>
  </si>
  <si>
    <t>1. Dán chuỗi SQL Injection vào ô tìm kiếm
2. Bấm Tìm kiếm</t>
  </si>
  <si>
    <t>Hệ thống tham số hóa truy vấn (Eloquent ORM), xử lý chuỗi như từ khóa văn bản thuần, không phát sinh lỗi SQL</t>
  </si>
  <si>
    <t>Không lộ lỗi SQL, trả về 0 kết quả an toàn</t>
  </si>
  <si>
    <t>TC-CATL-007</t>
  </si>
  <si>
    <t>Kiểm chứng chống tấn công XSS trên ô tìm kiếm và bộ lọc</t>
  </si>
  <si>
    <t>Từ khóa XSS: `&lt;script&gt;alert('XSS_Test')&lt;/script&gt;`</t>
  </si>
  <si>
    <t>1. Nhập mã script XSS vào ô tìm kiếm
2. Bấm Tìm kiếm</t>
  </si>
  <si>
    <t>Hệ thống mã hóa ký tự HTML (Blade `{{ }}` / Vue text interpolation), hiển thị chuỗi rõ dạng văn bản, không thực thi mã script</t>
  </si>
  <si>
    <t>An toàn XSS 100%, không xuất hiện hộp thoại alert</t>
  </si>
  <si>
    <t>TC-BOOK-001</t>
  </si>
  <si>
    <t>BOOK</t>
  </si>
  <si>
    <t>Kiểm chứng đặt chỗ cơ sở ẩm thực thành công với dữ liệu hợp lệ</t>
  </si>
  <si>
    <t>Khách hàng đã đăng nhập; món ăn/cơ sở ID #12 còn tồn 10 chỗ ngày 2026-12-01</t>
  </si>
  <si>
    <t>product_id: 12, service_date: 2026-12-01, pax: 2, note: 'Bàn gần cửa sổ'</t>
  </si>
  <si>
    <t>1. Chọn ngày 2026-12-01 và 2 khách
2. Bấm 'Đặt chỗ ngay'</t>
  </si>
  <si>
    <t>Tạo đơn thành công trạng thái `pending_payment`, số chỗ đang giữ `seats_held` tăng 2, sinh mã đơn hàng duy nhất</t>
  </si>
  <si>
    <t>Tạo đơn thành công, sinh mã đơn hàng BK20261200123</t>
  </si>
  <si>
    <t>TC-BOOK-002</t>
  </si>
  <si>
    <t>Kiểm chứng cơ chế Giữ chỗ có thời hạn (Hold 15 phút)</t>
  </si>
  <si>
    <t>Đã đặt chỗ thành công ở TC-BOOK-001</t>
  </si>
  <si>
    <t>Đơn hàng trạng thái `pending_payment`</t>
  </si>
  <si>
    <t>1. Kiểm tra trường `hold_expires_at` trong CSDL của đơn vừa tạo</t>
  </si>
  <si>
    <t>Trường `hold_expires_at` có giá trị đúng bằng thời điểm hiện tại + 15 phút</t>
  </si>
  <si>
    <t>Thời gian hết hạn giữ chỗ được ghi nhận chính xác +15 phút</t>
  </si>
  <si>
    <t>TC-BOOK-003</t>
  </si>
  <si>
    <t>Kiểm chứng tự động hoàn chỗ về kho khi hết hạn 15 phút giữ chỗ</t>
  </si>
  <si>
    <t>Đơn hàng ID #45 ở trạng thái `pending_payment` có `hold_expires_at` &lt; NOW()</t>
  </si>
  <si>
    <t>Chạy Cronjob / Schedule: `php artisan schedule:run`</t>
  </si>
  <si>
    <t>1. Chờ quá 15 phút không thanh toán
2. Kích hoạt lệnh giải phóng chỗ hết hạn (`releaseExpiredHolds`)</t>
  </si>
  <si>
    <t>Đơn chuyển sang `expired`, `seats_held` giảm 2, chỗ được hoàn trả về kho tồn khả dụng</t>
  </si>
  <si>
    <t>Tác vụ tự động chạy chuẩn xác, chỗ được hoàn về kho</t>
  </si>
  <si>
    <t>TC-BOOK-004</t>
  </si>
  <si>
    <t>Kiểm chứng xử lý tranh chấp đồng thời khi 2 phiên cùng đặt 1 chỗ cuối cùng</t>
  </si>
  <si>
    <t>Cơ sở ID #15 ngày 2026-12-05 chỉ còn đúng 1 chỗ khả dụng (`seats_total - seats_held - seats_sold = 1`)</t>
  </si>
  <si>
    <t>Trình duyệt A (Khách 1) và Trình duyệt B (Khách 2) cùng đặt 1 chỗ trong cùng 1 giây</t>
  </si>
  <si>
    <t>1. Mở 2 trình duyệt song song
2. Bấm nút 'Đặt chỗ' trên cả 2 trình duyệt trong cùng 1 giây</t>
  </si>
  <si>
    <t>Giao dịch DB dùng khóa hàng (`SELECT ... FOR UPDATE`), chỉ 1 phiên thành công, phiên còn lại báo 'Chỉ còn 0 chỗ khả dụng'</t>
  </si>
  <si>
    <t>Xử lý tranh chấp chuẩn xác, không bị đặt vượt sức chứa (overbooking)</t>
  </si>
  <si>
    <t>TC-BOOK-005</t>
  </si>
  <si>
    <t>Kiểm chứng từ chối đặt chỗ khi số lượng khách vượt quá chỗ còn lại</t>
  </si>
  <si>
    <t>Cơ sở ID #18 ngày 2026-12-10 chỉ còn 3 chỗ trống</t>
  </si>
  <si>
    <t>pax: 5 (vượt quá 3 chỗ trống)</t>
  </si>
  <si>
    <t>1. Chọn số khách = 5
2. Bấm 'Đặt chỗ'</t>
  </si>
  <si>
    <t>Hệ thống từ chối, báo lỗi: 'Chỉ còn 3 chỗ khả dụng cho ngày 2026-12-10.'</t>
  </si>
  <si>
    <t>Từ chối thành công, không tạo đơn rác</t>
  </si>
  <si>
    <t>TC-BOOK-006</t>
  </si>
  <si>
    <t>Kiểm chứng từ chối đặt chỗ vào ngày trong quá khứ</t>
  </si>
  <si>
    <t>Đang ở biểu mẫu đặt chỗ</t>
  </si>
  <si>
    <t>service_date: 2020-01-01 (ngày quá khứ)</t>
  </si>
  <si>
    <t>1. Nhập ngày trong quá khứ
2. Bấm 'Đặt chỗ'</t>
  </si>
  <si>
    <t>Máy chủ kiểm tra ràng buộc `after:today`, trả về lỗi 'Ngày khởi hành phải sau ngày hôm nay.'</t>
  </si>
  <si>
    <t>Máy chủ chặn lỗi 422 thành công</t>
  </si>
  <si>
    <t>TC-BOOK-008</t>
  </si>
  <si>
    <t>Giá trị biên</t>
  </si>
  <si>
    <t>Kiểm chứng đặt chỗ với số khách tối thiểu (`pax = 1`)</t>
  </si>
  <si>
    <t>Món ăn/Cơ sở còn chỗ trống</t>
  </si>
  <si>
    <t>pax: 1</t>
  </si>
  <si>
    <t>1. Chọn số khách = 1
2. Bấm Đặt chỗ</t>
  </si>
  <si>
    <t>Hệ thống tiếp nhận hợp lệ, tính tổng tiền = unit_price * 1</t>
  </si>
  <si>
    <t>Đặt chỗ thành công 1 khách</t>
  </si>
  <si>
    <t>Trung bình</t>
  </si>
  <si>
    <t>THỐNG KÊ TIẾN ĐỘ THỰC THI 20 CA KIỂM THỬ MỐC M2</t>
  </si>
  <si>
    <t>Số ca thực thi</t>
  </si>
  <si>
    <t>Trạng thái Đạt</t>
  </si>
  <si>
    <t>Tỷ lệ hoàn thành</t>
  </si>
  <si>
    <t>AUTH - Xác thực tài khoản</t>
  </si>
  <si>
    <t>PERM - Phân quyền hệ thống</t>
  </si>
  <si>
    <t>CATL - Tìm kiếm &amp; Lọc danh mục</t>
  </si>
  <si>
    <t>BOOK - Đặt chỗ &amp; Tranh chấp tồn kho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</si>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</sst>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rial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385723"/>
      <name val="Calibri"/>
    </font>
    <font>
      <b/>
      <sz val="13"/>
      <color rgb="FF1F4E78"/>
      <name val="Calibri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6" fillId="0" borderId="2" xfId="0" applyFont="1" applyBorder="1"/>
    <xf numFmtId="164" fontId="6" fillId="0" borderId="2" xfId="0" applyNumberFormat="1" applyFont="1" applyBorder="1"/>
    <xf numFmtId="0" fontId="0" fillId="0" borderId="0" xfId="0"/>
    <xf numFmtId="0" fontId="1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topLeftCell="G18" workbookViewId="0">
      <selection activeCell="D4" sqref="D4"/>
    </sheetView>
  </sheetViews>
  <sheetFormatPr defaultRowHeight="13.8" x14ac:dyDescent="0.25"/>
  <cols>
    <col min="1" max="1" width="14" customWidth="1"/>
    <col min="2" max="2" width="10" customWidth="1"/>
    <col min="3" max="3" width="14" customWidth="1"/>
    <col min="4" max="4" width="28" customWidth="1"/>
    <col min="5" max="6" width="25" customWidth="1"/>
    <col min="7" max="9" width="32" customWidth="1"/>
    <col min="10" max="10" width="12" customWidth="1"/>
    <col min="11" max="11" width="15" customWidth="1"/>
    <col min="12" max="12" width="18" customWidth="1"/>
    <col min="13" max="13" width="22" customWidth="1"/>
  </cols>
  <sheetData>
    <row r="1" spans="1:13" ht="18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1:13" ht="28.0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60" customHeight="1" x14ac:dyDescent="0.25">
      <c r="A4" s="11" t="s">
        <v>14</v>
      </c>
      <c r="B4" s="11" t="s">
        <v>15</v>
      </c>
      <c r="C4" s="11" t="s">
        <v>16</v>
      </c>
      <c r="D4" s="12" t="s">
        <v>17</v>
      </c>
      <c r="E4" s="12" t="s">
        <v>18</v>
      </c>
      <c r="F4" s="12" t="s">
        <v>19</v>
      </c>
      <c r="G4" s="12" t="s">
        <v>20</v>
      </c>
      <c r="H4" s="12" t="s">
        <v>21</v>
      </c>
      <c r="I4" s="12" t="s">
        <v>22</v>
      </c>
      <c r="J4" s="13" t="s">
        <v>23</v>
      </c>
      <c r="K4" s="11" t="s">
        <v>24</v>
      </c>
      <c r="L4" s="12" t="s">
        <v>25</v>
      </c>
      <c r="M4" s="12" t="s">
        <v>26</v>
      </c>
    </row>
    <row r="5" spans="1:13" ht="60" customHeight="1" x14ac:dyDescent="0.25">
      <c r="A5" s="14" t="s">
        <v>27</v>
      </c>
      <c r="B5" s="14" t="s">
        <v>15</v>
      </c>
      <c r="C5" s="14" t="s">
        <v>16</v>
      </c>
      <c r="D5" s="15" t="s">
        <v>28</v>
      </c>
      <c r="E5" s="15" t="s">
        <v>29</v>
      </c>
      <c r="F5" s="15" t="s">
        <v>30</v>
      </c>
      <c r="G5" s="15" t="s">
        <v>31</v>
      </c>
      <c r="H5" s="15" t="s">
        <v>32</v>
      </c>
      <c r="I5" s="15" t="s">
        <v>33</v>
      </c>
      <c r="J5" s="13" t="s">
        <v>23</v>
      </c>
      <c r="K5" s="14" t="s">
        <v>34</v>
      </c>
      <c r="L5" s="15" t="s">
        <v>25</v>
      </c>
      <c r="M5" s="15" t="s">
        <v>26</v>
      </c>
    </row>
    <row r="6" spans="1:13" ht="60" customHeight="1" x14ac:dyDescent="0.25">
      <c r="A6" s="11" t="s">
        <v>35</v>
      </c>
      <c r="B6" s="11" t="s">
        <v>15</v>
      </c>
      <c r="C6" s="11" t="s">
        <v>16</v>
      </c>
      <c r="D6" s="12" t="s">
        <v>36</v>
      </c>
      <c r="E6" s="12" t="s">
        <v>37</v>
      </c>
      <c r="F6" s="12" t="s">
        <v>38</v>
      </c>
      <c r="G6" s="12" t="s">
        <v>39</v>
      </c>
      <c r="H6" s="12" t="s">
        <v>40</v>
      </c>
      <c r="I6" s="12" t="s">
        <v>41</v>
      </c>
      <c r="J6" s="13" t="s">
        <v>23</v>
      </c>
      <c r="K6" s="11" t="s">
        <v>24</v>
      </c>
      <c r="L6" s="12" t="s">
        <v>25</v>
      </c>
      <c r="M6" s="12" t="s">
        <v>26</v>
      </c>
    </row>
    <row r="7" spans="1:13" ht="60" customHeight="1" x14ac:dyDescent="0.25">
      <c r="A7" s="14" t="s">
        <v>42</v>
      </c>
      <c r="B7" s="14" t="s">
        <v>43</v>
      </c>
      <c r="C7" s="14" t="s">
        <v>16</v>
      </c>
      <c r="D7" s="15" t="s">
        <v>44</v>
      </c>
      <c r="E7" s="15" t="s">
        <v>45</v>
      </c>
      <c r="F7" s="15" t="s">
        <v>46</v>
      </c>
      <c r="G7" s="15" t="s">
        <v>47</v>
      </c>
      <c r="H7" s="15" t="s">
        <v>48</v>
      </c>
      <c r="I7" s="15" t="s">
        <v>49</v>
      </c>
      <c r="J7" s="13" t="s">
        <v>23</v>
      </c>
      <c r="K7" s="14" t="s">
        <v>34</v>
      </c>
      <c r="L7" s="15" t="s">
        <v>25</v>
      </c>
      <c r="M7" s="15" t="s">
        <v>26</v>
      </c>
    </row>
    <row r="8" spans="1:13" ht="60" customHeight="1" x14ac:dyDescent="0.25">
      <c r="A8" s="11" t="s">
        <v>50</v>
      </c>
      <c r="B8" s="11" t="s">
        <v>43</v>
      </c>
      <c r="C8" s="11" t="s">
        <v>51</v>
      </c>
      <c r="D8" s="12" t="s">
        <v>52</v>
      </c>
      <c r="E8" s="12" t="s">
        <v>53</v>
      </c>
      <c r="F8" s="12" t="s">
        <v>54</v>
      </c>
      <c r="G8" s="12" t="s">
        <v>55</v>
      </c>
      <c r="H8" s="12" t="s">
        <v>56</v>
      </c>
      <c r="I8" s="12" t="s">
        <v>57</v>
      </c>
      <c r="J8" s="13" t="s">
        <v>23</v>
      </c>
      <c r="K8" s="11" t="s">
        <v>34</v>
      </c>
      <c r="L8" s="12" t="s">
        <v>25</v>
      </c>
      <c r="M8" s="12" t="s">
        <v>26</v>
      </c>
    </row>
    <row r="9" spans="1:13" ht="60" customHeight="1" x14ac:dyDescent="0.25">
      <c r="A9" s="14" t="s">
        <v>58</v>
      </c>
      <c r="B9" s="14" t="s">
        <v>43</v>
      </c>
      <c r="C9" s="14" t="s">
        <v>51</v>
      </c>
      <c r="D9" s="15" t="s">
        <v>59</v>
      </c>
      <c r="E9" s="15" t="s">
        <v>60</v>
      </c>
      <c r="F9" s="15" t="s">
        <v>61</v>
      </c>
      <c r="G9" s="15" t="s">
        <v>62</v>
      </c>
      <c r="H9" s="15" t="s">
        <v>63</v>
      </c>
      <c r="I9" s="15" t="s">
        <v>64</v>
      </c>
      <c r="J9" s="13" t="s">
        <v>23</v>
      </c>
      <c r="K9" s="14" t="s">
        <v>34</v>
      </c>
      <c r="L9" s="15" t="s">
        <v>25</v>
      </c>
      <c r="M9" s="15" t="s">
        <v>26</v>
      </c>
    </row>
    <row r="10" spans="1:13" ht="60" customHeight="1" x14ac:dyDescent="0.25">
      <c r="A10" s="11" t="s">
        <v>65</v>
      </c>
      <c r="B10" s="11" t="s">
        <v>43</v>
      </c>
      <c r="C10" s="11" t="s">
        <v>51</v>
      </c>
      <c r="D10" s="12" t="s">
        <v>66</v>
      </c>
      <c r="E10" s="12" t="s">
        <v>67</v>
      </c>
      <c r="F10" s="12" t="s">
        <v>68</v>
      </c>
      <c r="G10" s="12" t="s">
        <v>69</v>
      </c>
      <c r="H10" s="12" t="s">
        <v>70</v>
      </c>
      <c r="I10" s="12" t="s">
        <v>71</v>
      </c>
      <c r="J10" s="13" t="s">
        <v>23</v>
      </c>
      <c r="K10" s="11" t="s">
        <v>34</v>
      </c>
      <c r="L10" s="12" t="s">
        <v>25</v>
      </c>
      <c r="M10" s="12" t="s">
        <v>26</v>
      </c>
    </row>
    <row r="11" spans="1:13" ht="60" customHeight="1" x14ac:dyDescent="0.25">
      <c r="A11" s="14" t="s">
        <v>72</v>
      </c>
      <c r="B11" s="14" t="s">
        <v>73</v>
      </c>
      <c r="C11" s="14" t="s">
        <v>16</v>
      </c>
      <c r="D11" s="15" t="s">
        <v>74</v>
      </c>
      <c r="E11" s="15" t="s">
        <v>75</v>
      </c>
      <c r="F11" s="15" t="s">
        <v>76</v>
      </c>
      <c r="G11" s="15" t="s">
        <v>77</v>
      </c>
      <c r="H11" s="15" t="s">
        <v>78</v>
      </c>
      <c r="I11" s="15" t="s">
        <v>79</v>
      </c>
      <c r="J11" s="13" t="s">
        <v>23</v>
      </c>
      <c r="K11" s="14" t="s">
        <v>24</v>
      </c>
      <c r="L11" s="15" t="s">
        <v>25</v>
      </c>
      <c r="M11" s="15" t="s">
        <v>26</v>
      </c>
    </row>
    <row r="12" spans="1:13" ht="60" customHeight="1" x14ac:dyDescent="0.25">
      <c r="A12" s="11" t="s">
        <v>80</v>
      </c>
      <c r="B12" s="11" t="s">
        <v>73</v>
      </c>
      <c r="C12" s="11" t="s">
        <v>16</v>
      </c>
      <c r="D12" s="12" t="s">
        <v>81</v>
      </c>
      <c r="E12" s="12" t="s">
        <v>82</v>
      </c>
      <c r="F12" s="12" t="s">
        <v>83</v>
      </c>
      <c r="G12" s="12" t="s">
        <v>84</v>
      </c>
      <c r="H12" s="12" t="s">
        <v>85</v>
      </c>
      <c r="I12" s="12" t="s">
        <v>86</v>
      </c>
      <c r="J12" s="13" t="s">
        <v>23</v>
      </c>
      <c r="K12" s="11" t="s">
        <v>24</v>
      </c>
      <c r="L12" s="12" t="s">
        <v>25</v>
      </c>
      <c r="M12" s="12" t="s">
        <v>26</v>
      </c>
    </row>
    <row r="13" spans="1:13" ht="60" customHeight="1" x14ac:dyDescent="0.25">
      <c r="A13" s="14" t="s">
        <v>87</v>
      </c>
      <c r="B13" s="14" t="s">
        <v>73</v>
      </c>
      <c r="C13" s="14" t="s">
        <v>16</v>
      </c>
      <c r="D13" s="15" t="s">
        <v>88</v>
      </c>
      <c r="E13" s="15" t="s">
        <v>82</v>
      </c>
      <c r="F13" s="15" t="s">
        <v>89</v>
      </c>
      <c r="G13" s="15" t="s">
        <v>90</v>
      </c>
      <c r="H13" s="15" t="s">
        <v>91</v>
      </c>
      <c r="I13" s="15" t="s">
        <v>92</v>
      </c>
      <c r="J13" s="13" t="s">
        <v>23</v>
      </c>
      <c r="K13" s="14" t="s">
        <v>24</v>
      </c>
      <c r="L13" s="15" t="s">
        <v>25</v>
      </c>
      <c r="M13" s="15" t="s">
        <v>26</v>
      </c>
    </row>
    <row r="14" spans="1:13" ht="60" customHeight="1" x14ac:dyDescent="0.25">
      <c r="A14" s="11" t="s">
        <v>93</v>
      </c>
      <c r="B14" s="11" t="s">
        <v>73</v>
      </c>
      <c r="C14" s="11" t="s">
        <v>16</v>
      </c>
      <c r="D14" s="12" t="s">
        <v>94</v>
      </c>
      <c r="E14" s="12" t="s">
        <v>95</v>
      </c>
      <c r="F14" s="12" t="s">
        <v>96</v>
      </c>
      <c r="G14" s="12" t="s">
        <v>97</v>
      </c>
      <c r="H14" s="12" t="s">
        <v>98</v>
      </c>
      <c r="I14" s="12" t="s">
        <v>99</v>
      </c>
      <c r="J14" s="13" t="s">
        <v>23</v>
      </c>
      <c r="K14" s="11" t="s">
        <v>24</v>
      </c>
      <c r="L14" s="12" t="s">
        <v>25</v>
      </c>
      <c r="M14" s="12" t="s">
        <v>26</v>
      </c>
    </row>
    <row r="15" spans="1:13" ht="60" customHeight="1" x14ac:dyDescent="0.25">
      <c r="A15" s="14" t="s">
        <v>100</v>
      </c>
      <c r="B15" s="14" t="s">
        <v>73</v>
      </c>
      <c r="C15" s="14" t="s">
        <v>51</v>
      </c>
      <c r="D15" s="15" t="s">
        <v>101</v>
      </c>
      <c r="E15" s="15" t="s">
        <v>102</v>
      </c>
      <c r="F15" s="15" t="s">
        <v>103</v>
      </c>
      <c r="G15" s="15" t="s">
        <v>104</v>
      </c>
      <c r="H15" s="15" t="s">
        <v>105</v>
      </c>
      <c r="I15" s="15" t="s">
        <v>106</v>
      </c>
      <c r="J15" s="13" t="s">
        <v>23</v>
      </c>
      <c r="K15" s="14" t="s">
        <v>34</v>
      </c>
      <c r="L15" s="15" t="s">
        <v>25</v>
      </c>
      <c r="M15" s="15" t="s">
        <v>26</v>
      </c>
    </row>
    <row r="16" spans="1:13" ht="60" customHeight="1" x14ac:dyDescent="0.25">
      <c r="A16" s="11" t="s">
        <v>107</v>
      </c>
      <c r="B16" s="11" t="s">
        <v>73</v>
      </c>
      <c r="C16" s="11" t="s">
        <v>51</v>
      </c>
      <c r="D16" s="12" t="s">
        <v>108</v>
      </c>
      <c r="E16" s="12" t="s">
        <v>102</v>
      </c>
      <c r="F16" s="12" t="s">
        <v>109</v>
      </c>
      <c r="G16" s="12" t="s">
        <v>110</v>
      </c>
      <c r="H16" s="12" t="s">
        <v>111</v>
      </c>
      <c r="I16" s="12" t="s">
        <v>112</v>
      </c>
      <c r="J16" s="13" t="s">
        <v>23</v>
      </c>
      <c r="K16" s="11" t="s">
        <v>34</v>
      </c>
      <c r="L16" s="12" t="s">
        <v>25</v>
      </c>
      <c r="M16" s="12" t="s">
        <v>26</v>
      </c>
    </row>
    <row r="17" spans="1:13" ht="60" customHeight="1" x14ac:dyDescent="0.25">
      <c r="A17" s="14" t="s">
        <v>113</v>
      </c>
      <c r="B17" s="14" t="s">
        <v>114</v>
      </c>
      <c r="C17" s="14" t="s">
        <v>16</v>
      </c>
      <c r="D17" s="15" t="s">
        <v>115</v>
      </c>
      <c r="E17" s="15" t="s">
        <v>116</v>
      </c>
      <c r="F17" s="15" t="s">
        <v>117</v>
      </c>
      <c r="G17" s="15" t="s">
        <v>118</v>
      </c>
      <c r="H17" s="15" t="s">
        <v>119</v>
      </c>
      <c r="I17" s="15" t="s">
        <v>120</v>
      </c>
      <c r="J17" s="13" t="s">
        <v>23</v>
      </c>
      <c r="K17" s="14" t="s">
        <v>34</v>
      </c>
      <c r="L17" s="15" t="s">
        <v>25</v>
      </c>
      <c r="M17" s="15" t="s">
        <v>26</v>
      </c>
    </row>
    <row r="18" spans="1:13" ht="60" customHeight="1" x14ac:dyDescent="0.25">
      <c r="A18" s="11" t="s">
        <v>121</v>
      </c>
      <c r="B18" s="11" t="s">
        <v>114</v>
      </c>
      <c r="C18" s="11" t="s">
        <v>16</v>
      </c>
      <c r="D18" s="12" t="s">
        <v>122</v>
      </c>
      <c r="E18" s="12" t="s">
        <v>123</v>
      </c>
      <c r="F18" s="12" t="s">
        <v>124</v>
      </c>
      <c r="G18" s="12" t="s">
        <v>125</v>
      </c>
      <c r="H18" s="12" t="s">
        <v>126</v>
      </c>
      <c r="I18" s="12" t="s">
        <v>127</v>
      </c>
      <c r="J18" s="13" t="s">
        <v>23</v>
      </c>
      <c r="K18" s="11" t="s">
        <v>24</v>
      </c>
      <c r="L18" s="12" t="s">
        <v>25</v>
      </c>
      <c r="M18" s="12" t="s">
        <v>26</v>
      </c>
    </row>
    <row r="19" spans="1:13" ht="60" customHeight="1" x14ac:dyDescent="0.25">
      <c r="A19" s="14" t="s">
        <v>128</v>
      </c>
      <c r="B19" s="14" t="s">
        <v>114</v>
      </c>
      <c r="C19" s="14" t="s">
        <v>16</v>
      </c>
      <c r="D19" s="15" t="s">
        <v>129</v>
      </c>
      <c r="E19" s="15" t="s">
        <v>130</v>
      </c>
      <c r="F19" s="15" t="s">
        <v>131</v>
      </c>
      <c r="G19" s="15" t="s">
        <v>132</v>
      </c>
      <c r="H19" s="15" t="s">
        <v>133</v>
      </c>
      <c r="I19" s="15" t="s">
        <v>134</v>
      </c>
      <c r="J19" s="13" t="s">
        <v>23</v>
      </c>
      <c r="K19" s="14" t="s">
        <v>34</v>
      </c>
      <c r="L19" s="15" t="s">
        <v>25</v>
      </c>
      <c r="M19" s="15" t="s">
        <v>26</v>
      </c>
    </row>
    <row r="20" spans="1:13" ht="60" customHeight="1" x14ac:dyDescent="0.25">
      <c r="A20" s="11" t="s">
        <v>135</v>
      </c>
      <c r="B20" s="11" t="s">
        <v>114</v>
      </c>
      <c r="C20" s="11" t="s">
        <v>51</v>
      </c>
      <c r="D20" s="12" t="s">
        <v>136</v>
      </c>
      <c r="E20" s="12" t="s">
        <v>137</v>
      </c>
      <c r="F20" s="12" t="s">
        <v>138</v>
      </c>
      <c r="G20" s="12" t="s">
        <v>139</v>
      </c>
      <c r="H20" s="12" t="s">
        <v>140</v>
      </c>
      <c r="I20" s="12" t="s">
        <v>141</v>
      </c>
      <c r="J20" s="13" t="s">
        <v>23</v>
      </c>
      <c r="K20" s="11" t="s">
        <v>34</v>
      </c>
      <c r="L20" s="12" t="s">
        <v>25</v>
      </c>
      <c r="M20" s="12" t="s">
        <v>26</v>
      </c>
    </row>
    <row r="21" spans="1:13" ht="60" customHeight="1" x14ac:dyDescent="0.25">
      <c r="A21" s="14" t="s">
        <v>142</v>
      </c>
      <c r="B21" s="14" t="s">
        <v>114</v>
      </c>
      <c r="C21" s="14" t="s">
        <v>51</v>
      </c>
      <c r="D21" s="15" t="s">
        <v>143</v>
      </c>
      <c r="E21" s="15" t="s">
        <v>144</v>
      </c>
      <c r="F21" s="15" t="s">
        <v>145</v>
      </c>
      <c r="G21" s="15" t="s">
        <v>146</v>
      </c>
      <c r="H21" s="15" t="s">
        <v>147</v>
      </c>
      <c r="I21" s="15" t="s">
        <v>148</v>
      </c>
      <c r="J21" s="13" t="s">
        <v>23</v>
      </c>
      <c r="K21" s="14" t="s">
        <v>24</v>
      </c>
      <c r="L21" s="15" t="s">
        <v>25</v>
      </c>
      <c r="M21" s="15" t="s">
        <v>26</v>
      </c>
    </row>
    <row r="22" spans="1:13" ht="60" customHeight="1" x14ac:dyDescent="0.25">
      <c r="A22" s="11" t="s">
        <v>149</v>
      </c>
      <c r="B22" s="11" t="s">
        <v>114</v>
      </c>
      <c r="C22" s="11" t="s">
        <v>51</v>
      </c>
      <c r="D22" s="12" t="s">
        <v>150</v>
      </c>
      <c r="E22" s="12" t="s">
        <v>151</v>
      </c>
      <c r="F22" s="12" t="s">
        <v>152</v>
      </c>
      <c r="G22" s="12" t="s">
        <v>153</v>
      </c>
      <c r="H22" s="12" t="s">
        <v>154</v>
      </c>
      <c r="I22" s="12" t="s">
        <v>155</v>
      </c>
      <c r="J22" s="13" t="s">
        <v>23</v>
      </c>
      <c r="K22" s="11" t="s">
        <v>24</v>
      </c>
      <c r="L22" s="12" t="s">
        <v>25</v>
      </c>
      <c r="M22" s="12" t="s">
        <v>26</v>
      </c>
    </row>
    <row r="23" spans="1:13" ht="60" customHeight="1" x14ac:dyDescent="0.25">
      <c r="A23" s="14" t="s">
        <v>156</v>
      </c>
      <c r="B23" s="14" t="s">
        <v>114</v>
      </c>
      <c r="C23" s="14" t="s">
        <v>157</v>
      </c>
      <c r="D23" s="15" t="s">
        <v>158</v>
      </c>
      <c r="E23" s="15" t="s">
        <v>159</v>
      </c>
      <c r="F23" s="15" t="s">
        <v>160</v>
      </c>
      <c r="G23" s="15" t="s">
        <v>161</v>
      </c>
      <c r="H23" s="15" t="s">
        <v>162</v>
      </c>
      <c r="I23" s="15" t="s">
        <v>163</v>
      </c>
      <c r="J23" s="13" t="s">
        <v>23</v>
      </c>
      <c r="K23" s="14" t="s">
        <v>164</v>
      </c>
      <c r="L23" s="15" t="s">
        <v>25</v>
      </c>
      <c r="M23" s="15" t="s">
        <v>26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13" sqref="B13"/>
    </sheetView>
  </sheetViews>
  <sheetFormatPr defaultRowHeight="13.8" x14ac:dyDescent="0.25"/>
  <cols>
    <col min="1" max="1" width="35" customWidth="1"/>
    <col min="2" max="3" width="18" customWidth="1"/>
    <col min="4" max="4" width="20" customWidth="1"/>
  </cols>
  <sheetData>
    <row r="1" spans="1:4" ht="17.399999999999999" x14ac:dyDescent="0.35">
      <c r="A1" s="2" t="s">
        <v>165</v>
      </c>
    </row>
    <row r="3" spans="1:4" ht="14.4" x14ac:dyDescent="0.25">
      <c r="A3" s="3" t="s">
        <v>2</v>
      </c>
      <c r="B3" s="3" t="s">
        <v>166</v>
      </c>
      <c r="C3" s="3" t="s">
        <v>167</v>
      </c>
      <c r="D3" s="3" t="s">
        <v>168</v>
      </c>
    </row>
    <row r="4" spans="1:4" x14ac:dyDescent="0.25">
      <c r="A4" s="4" t="s">
        <v>169</v>
      </c>
      <c r="B4" s="5">
        <v>3</v>
      </c>
      <c r="C4" s="5">
        <v>3</v>
      </c>
      <c r="D4" s="6">
        <f>C4/B4</f>
        <v>1</v>
      </c>
    </row>
    <row r="5" spans="1:4" x14ac:dyDescent="0.25">
      <c r="A5" s="4" t="s">
        <v>170</v>
      </c>
      <c r="B5" s="5">
        <v>4</v>
      </c>
      <c r="C5" s="5">
        <v>4</v>
      </c>
      <c r="D5" s="6">
        <f>C5/B5</f>
        <v>1</v>
      </c>
    </row>
    <row r="6" spans="1:4" x14ac:dyDescent="0.25">
      <c r="A6" s="4" t="s">
        <v>171</v>
      </c>
      <c r="B6" s="5">
        <v>6</v>
      </c>
      <c r="C6" s="5">
        <v>6</v>
      </c>
      <c r="D6" s="6">
        <f>C6/B6</f>
        <v>1</v>
      </c>
    </row>
    <row r="7" spans="1:4" x14ac:dyDescent="0.25">
      <c r="A7" s="4" t="s">
        <v>172</v>
      </c>
      <c r="B7" s="5">
        <v>7</v>
      </c>
      <c r="C7" s="5">
        <v>7</v>
      </c>
      <c r="D7" s="6">
        <f>C7/B7</f>
        <v>1</v>
      </c>
    </row>
    <row r="8" spans="1:4" x14ac:dyDescent="0.25">
      <c r="A8" s="7" t="s">
        <v>173</v>
      </c>
      <c r="B8" s="7">
        <f>SUM(B4:B7)</f>
        <v>20</v>
      </c>
      <c r="C8" s="7">
        <f>SUM(C4:C7)</f>
        <v>20</v>
      </c>
      <c r="D8" s="8">
        <f>C8/B8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20_Ca_Kiem_Thu_M2</vt:lpstr>
      <vt:lpstr>Thong_Ke_M2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195. Nguyễn Huy Hoàng</cp:lastModifiedBy>
  <dcterms:created xsi:type="dcterms:W3CDTF">2026-10-10T03:15:01Z</dcterms:created>
  <dcterms:modified xsi:type="dcterms:W3CDTF">2026-10-10T03:21:35Z</dcterms:modified>
</cp:coreProperties>
</file>